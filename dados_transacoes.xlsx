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lucaslucas/Desktop/BE.RICH APP/"/>
    </mc:Choice>
  </mc:AlternateContent>
  <xr:revisionPtr revIDLastSave="0" documentId="13_ncr:1_{7D57329C-DCAA-3F4A-8360-CC297C0DD7C1}" xr6:coauthVersionLast="47" xr6:coauthVersionMax="47" xr10:uidLastSave="{00000000-0000-0000-0000-000000000000}"/>
  <bookViews>
    <workbookView xWindow="0" yWindow="660" windowWidth="29400" windowHeight="18460" activeTab="7" xr2:uid="{00000000-000D-0000-FFFF-FFFF00000000}"/>
  </bookViews>
  <sheets>
    <sheet name="Março Cartão 2026" sheetId="1" r:id="rId1"/>
    <sheet name="Março Saldo 2026" sheetId="2" r:id="rId2"/>
    <sheet name="Abril Cartão 2026" sheetId="3" r:id="rId3"/>
    <sheet name="Abril Saldo 2026" sheetId="4" r:id="rId4"/>
    <sheet name="Maio Cartão 2026" sheetId="5" r:id="rId5"/>
    <sheet name="Maio Saldo 2026" sheetId="6" r:id="rId6"/>
    <sheet name="Investimentos" sheetId="7" r:id="rId7"/>
    <sheet name="Itaú" sheetId="8" r:id="rId8"/>
    <sheet name="Vamo Nessa SP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7" l="1"/>
  <c r="H14" i="7"/>
  <c r="G14" i="7"/>
  <c r="H12" i="7"/>
  <c r="I11" i="7"/>
  <c r="N10" i="7"/>
  <c r="I10" i="7"/>
  <c r="N9" i="7"/>
  <c r="I9" i="7"/>
  <c r="I14" i="7" s="1"/>
  <c r="N4" i="7"/>
  <c r="B4" i="7"/>
  <c r="N3" i="7"/>
  <c r="I3" i="7" l="1"/>
  <c r="I15" i="7" s="1"/>
  <c r="B6" i="7" l="1"/>
  <c r="B3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tc={04A1B058-BBDA-4B4B-B61F-08EB6F068AF3}</author>
    <author>tc={3ECC8542-87C5-244C-AFA8-0ED702FB792D}</author>
    <author>tc={BA1E77B1-5BAF-E04A-873B-C8CD262AE61E}</author>
  </authors>
  <commentList>
    <comment ref="D8" authorId="0" shapeId="0" xr:uid="{04A1B058-BBDA-4B4B-B61F-08EB6F068AF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INVESTIDO		R$ 20.944,00	
R$ 3.000,00		20/6	
R$ 3.200,00		15/6	
-R$ 6.296,95		22/8	
R$ 5.340,95		23/2	
-R$ 300,00		1/3	
R$ 4.000,00		14/3	
-R$ 3.000,00		25/3	
R$ 3.000,00		30/3	
R$ 12.000,00		8/5	</t>
      </text>
    </comment>
    <comment ref="B9" authorId="1" shapeId="0" xr:uid="{3ECC8542-87C5-244C-AFA8-0ED702FB792D}">
      <text>
        <t>[Threaded comment]
Your version of Excel allows you to read this threaded comment; however, any edits to it will get removed if the file is opened in a newer version of Excel. Learn more: https://go.microsoft.com/fwlink/?linkid=870924
Comment:
    tem lucro camisetas pandolfi e caio, tem ucro do ssd que a kau pagou por cima do ano novo, era 5900 (era 7k mas vc perdeu 1100 no palmeiras)</t>
      </text>
    </comment>
    <comment ref="D11" authorId="2" shapeId="0" xr:uid="{BA1E77B1-5BAF-E04A-873B-C8CD262AE61E}">
      <text>
        <t>[Threaded comment]
Your version of Excel allows you to read this threaded comment; however, any edits to it will get removed if the file is opened in a newer version of Excel. Learn more: https://go.microsoft.com/fwlink/?linkid=870924
Comment:
    DIA 30 DE MARÇO DE 2026 INVESTIU NA LCL - 6000</t>
      </text>
    </comment>
  </commentList>
</comments>
</file>

<file path=xl/sharedStrings.xml><?xml version="1.0" encoding="utf-8"?>
<sst xmlns="http://schemas.openxmlformats.org/spreadsheetml/2006/main" count="968" uniqueCount="409">
  <si>
    <t>Valor</t>
  </si>
  <si>
    <t>Data</t>
  </si>
  <si>
    <t>Motivo</t>
  </si>
  <si>
    <t>Tipo</t>
  </si>
  <si>
    <t>PARA MIM</t>
  </si>
  <si>
    <t>PRESENTES</t>
  </si>
  <si>
    <t>NAO SEI</t>
  </si>
  <si>
    <t>OUTROS</t>
  </si>
  <si>
    <t>COCA</t>
  </si>
  <si>
    <t>COMIDA</t>
  </si>
  <si>
    <t>BOTECO DA MOOCA + JATOBAH + FRANCO</t>
  </si>
  <si>
    <t>BEBIDAS</t>
  </si>
  <si>
    <t>KAUANY UBER</t>
  </si>
  <si>
    <t>UBER</t>
  </si>
  <si>
    <t>TOCCO COM A KAU</t>
  </si>
  <si>
    <t>UBER PARA GALPAO</t>
  </si>
  <si>
    <t>BEEFMAKERS CARNES CHURRASCO SALLES QUE FICOU PARA DOMINGO</t>
  </si>
  <si>
    <t>TABACO</t>
  </si>
  <si>
    <t>POD</t>
  </si>
  <si>
    <t>COMBOS DE VODKA VÓ DO SALLES</t>
  </si>
  <si>
    <t>MCDONALDS + BREJA NO POSTO</t>
  </si>
  <si>
    <t>20 3</t>
  </si>
  <si>
    <t>uber pro enzo</t>
  </si>
  <si>
    <t>pepsi</t>
  </si>
  <si>
    <t>franco gastrobar com rizzi</t>
  </si>
  <si>
    <t>gasolina</t>
  </si>
  <si>
    <t>GASOLINA</t>
  </si>
  <si>
    <t>farol da mooca com lorenzo vitinho nick</t>
  </si>
  <si>
    <t>adega do pinho</t>
  </si>
  <si>
    <t>calca kaua ta pagando</t>
  </si>
  <si>
    <t>VESTUÁRIO</t>
  </si>
  <si>
    <t>total pass</t>
  </si>
  <si>
    <t>MENSAL</t>
  </si>
  <si>
    <t>calça fusion</t>
  </si>
  <si>
    <t>zé delivery c os mlks (todos pagaram)</t>
  </si>
  <si>
    <t>uber para casamento</t>
  </si>
  <si>
    <t>tarifa anuidade</t>
  </si>
  <si>
    <t>CARTÃO</t>
  </si>
  <si>
    <t>uber</t>
  </si>
  <si>
    <t>CONVÊNIO</t>
  </si>
  <si>
    <t>APOSTAS</t>
  </si>
  <si>
    <t>NAVEGANDO FEVEREIRO + UBER</t>
  </si>
  <si>
    <t>PALMEIRAS REEMBOLSO</t>
  </si>
  <si>
    <t>COMISSAO FELIPE RADIAL</t>
  </si>
  <si>
    <t>SALÁRIO MOSAIC</t>
  </si>
  <si>
    <t>PALMEIRAS</t>
  </si>
  <si>
    <t>NAVEGANDO MKT COMISSAO</t>
  </si>
  <si>
    <t>rafa dr espeto</t>
  </si>
  <si>
    <t>apostas</t>
  </si>
  <si>
    <t>fatura nu bank (mensais + carro)</t>
  </si>
  <si>
    <t>pagamento gustavo</t>
  </si>
  <si>
    <t>CHURRASCO KAU BANCO</t>
  </si>
  <si>
    <t>FATURA C6</t>
  </si>
  <si>
    <t>mercado pago (1 parte da bateria, flores)</t>
  </si>
  <si>
    <t>enviou LCL</t>
  </si>
  <si>
    <t>CAMISETA PALMEIRAS, VENDEU A DO CORINTHIANS</t>
  </si>
  <si>
    <t>nao sei</t>
  </si>
  <si>
    <t>aplicou cdb</t>
  </si>
  <si>
    <t>LARI PAGOU COMISSOES E 20% VERA</t>
  </si>
  <si>
    <t>APLICOU CDB</t>
  </si>
  <si>
    <t>leozinho apostas</t>
  </si>
  <si>
    <t>superbet</t>
  </si>
  <si>
    <t>rafae</t>
  </si>
  <si>
    <t>cidinha e gravata</t>
  </si>
  <si>
    <t>bet</t>
  </si>
  <si>
    <t>navegando comissoes</t>
  </si>
  <si>
    <t>MES PASSADO</t>
  </si>
  <si>
    <t>GANHOS</t>
  </si>
  <si>
    <t>INVESTIDO</t>
  </si>
  <si>
    <t>NAVEGANDOSP</t>
  </si>
  <si>
    <t>estacionamento</t>
  </si>
  <si>
    <t>ESTACIONAMENTO</t>
  </si>
  <si>
    <t>pizzaria pianossa</t>
  </si>
  <si>
    <t>humorfobia bola e carioca</t>
  </si>
  <si>
    <t>KAU</t>
  </si>
  <si>
    <t>nonna lasanha</t>
  </si>
  <si>
    <t>primas kau</t>
  </si>
  <si>
    <t>zona azu</t>
  </si>
  <si>
    <t>jantar eu e kau</t>
  </si>
  <si>
    <t>MP</t>
  </si>
  <si>
    <t>joarez</t>
  </si>
  <si>
    <t>burdog dia do humorfobia</t>
  </si>
  <si>
    <t>poke kau</t>
  </si>
  <si>
    <t>jogo palmeiras arredores</t>
  </si>
  <si>
    <t>uber agencia</t>
  </si>
  <si>
    <t>maru e festa eletrônica</t>
  </si>
  <si>
    <t>uber kau</t>
  </si>
  <si>
    <t>farmacia</t>
  </si>
  <si>
    <t>almoco com a kau</t>
  </si>
  <si>
    <t>coca</t>
  </si>
  <si>
    <t>camisa retro amiga pagas</t>
  </si>
  <si>
    <t>save the burger</t>
  </si>
  <si>
    <t>jupan</t>
  </si>
  <si>
    <t>totalpass</t>
  </si>
  <si>
    <t>indo pro jogo</t>
  </si>
  <si>
    <t>palmeiras ingresso champions</t>
  </si>
  <si>
    <t>FESTAS</t>
  </si>
  <si>
    <t>ingresso palmeiras bragança</t>
  </si>
  <si>
    <t>san gennato pizzas</t>
  </si>
  <si>
    <t>naosei</t>
  </si>
  <si>
    <t>superrmed boleto</t>
  </si>
  <si>
    <t>kau</t>
  </si>
  <si>
    <t>páscoa</t>
  </si>
  <si>
    <t>mensal navegando</t>
  </si>
  <si>
    <t>denstias lentes</t>
  </si>
  <si>
    <t>combo salles</t>
  </si>
  <si>
    <t>salario mosaic</t>
  </si>
  <si>
    <t>1 ano kau</t>
  </si>
  <si>
    <t>FATURA</t>
  </si>
  <si>
    <t>INVESTIU C6 CARTAO</t>
  </si>
  <si>
    <t>NMAO SEI</t>
  </si>
  <si>
    <t>AYALA PAGOU</t>
  </si>
  <si>
    <t>TXA CAMISAS PALMEIRAS</t>
  </si>
  <si>
    <t>ganhos</t>
  </si>
  <si>
    <t>comissao FELIPE RADIAL</t>
  </si>
  <si>
    <t>investiu lcl</t>
  </si>
  <si>
    <t>LCL</t>
  </si>
  <si>
    <t>lalamove</t>
  </si>
  <si>
    <t>navegandospcomssao</t>
  </si>
  <si>
    <t>churrasco mlks</t>
  </si>
  <si>
    <t>kau pagou</t>
  </si>
  <si>
    <t>franco cardapio</t>
  </si>
  <si>
    <t>rafael</t>
  </si>
  <si>
    <t>segurosaude</t>
  </si>
  <si>
    <t>PARATY</t>
  </si>
  <si>
    <t>VIAGENS</t>
  </si>
  <si>
    <t>FORMULA BKZ</t>
  </si>
  <si>
    <t>lavagem carro</t>
  </si>
  <si>
    <t>pepse</t>
  </si>
  <si>
    <t>olx</t>
  </si>
  <si>
    <t>FATURA CARTÃO</t>
  </si>
  <si>
    <t>APOSTas</t>
  </si>
  <si>
    <t>RATAO PAGOU</t>
  </si>
  <si>
    <t>CONTABILIDADE LCL INVEST</t>
  </si>
  <si>
    <t>VIAGEM PARATY</t>
  </si>
  <si>
    <t>NAVEGANDO MENSAL</t>
  </si>
  <si>
    <t>DMZ 1/3</t>
  </si>
  <si>
    <t>VIVARA KAU 2/3</t>
  </si>
  <si>
    <t>01 04</t>
  </si>
  <si>
    <t>mês passado</t>
  </si>
  <si>
    <t>dmz 2/3</t>
  </si>
  <si>
    <t>dani show 1/2</t>
  </si>
  <si>
    <t>macdonalds</t>
  </si>
  <si>
    <t>01 05</t>
  </si>
  <si>
    <t>dani show  2/2</t>
  </si>
  <si>
    <t>dmz 3/3</t>
  </si>
  <si>
    <t>INVESTIMENTO</t>
  </si>
  <si>
    <t>nubank</t>
  </si>
  <si>
    <t>DATA</t>
  </si>
  <si>
    <t>REAIS</t>
  </si>
  <si>
    <t>BTC</t>
  </si>
  <si>
    <t>RENDIMENTO</t>
  </si>
  <si>
    <t>C6 CRÉDITO</t>
  </si>
  <si>
    <t>veio do itau</t>
  </si>
  <si>
    <t>BINANCE BTC</t>
  </si>
  <si>
    <t>veio do vamo nessa</t>
  </si>
  <si>
    <t>WORLD COIN BTC</t>
  </si>
  <si>
    <t>ITAU CDB</t>
  </si>
  <si>
    <t>ajuste, manter</t>
  </si>
  <si>
    <t>mercado pago</t>
  </si>
  <si>
    <t>COFRINHO 120% CDI - FEITO EM12/1</t>
  </si>
  <si>
    <t>110% cdi 6 meses - 16/03/2026</t>
  </si>
  <si>
    <t>c6- cofrinho a 120%</t>
  </si>
  <si>
    <t>19/11 2025 caixinha nu bank turbo 115</t>
  </si>
  <si>
    <t>BTC ATUAL</t>
  </si>
  <si>
    <t>itau - 106 ml Liberação em 14/jul/2026</t>
  </si>
  <si>
    <t>19/11/2025 reserva de emergencia</t>
  </si>
  <si>
    <t>APORTES</t>
  </si>
  <si>
    <t>MEDIA</t>
  </si>
  <si>
    <t>TOTAL INVESTIDO</t>
  </si>
  <si>
    <t>TOTAL BTC</t>
  </si>
  <si>
    <t>VAMO NESSA</t>
  </si>
  <si>
    <t>CDB C6 APLICADO 20/3</t>
  </si>
  <si>
    <t>BONUS MOSAIC CDB C6 APLICADO 21/3</t>
  </si>
  <si>
    <t>lucro</t>
  </si>
  <si>
    <t>INVEST C6 CRÉDITO</t>
  </si>
  <si>
    <t>LCL ECOM</t>
  </si>
  <si>
    <t>ML 106%  - 14/7/2026</t>
  </si>
  <si>
    <t>TOTAL</t>
  </si>
  <si>
    <t>LCA CCB</t>
  </si>
  <si>
    <t>BITCOIN</t>
  </si>
  <si>
    <t>VALOR COMPRADO</t>
  </si>
  <si>
    <t>MÊS</t>
  </si>
  <si>
    <t>VALOR</t>
  </si>
  <si>
    <t>CLIENTE</t>
  </si>
  <si>
    <t>SERVIÇO</t>
  </si>
  <si>
    <t>TIPO</t>
  </si>
  <si>
    <t>ABRIL</t>
  </si>
  <si>
    <t>BAR DO ESPANHOL</t>
  </si>
  <si>
    <t>Mensal abril</t>
  </si>
  <si>
    <t>Cardápio 1/2</t>
  </si>
  <si>
    <t>PONTUAL</t>
  </si>
  <si>
    <t>BEWILL</t>
  </si>
  <si>
    <t>Matsuya reestruturação</t>
  </si>
  <si>
    <t>GASTOS</t>
  </si>
  <si>
    <t>Case drone, visor, película, luminária, camera de peito, dupla face, arrumar fio</t>
  </si>
  <si>
    <t>FATURA ABRIL</t>
  </si>
  <si>
    <t>MAIO</t>
  </si>
  <si>
    <t>OMDR</t>
  </si>
  <si>
    <t>OMDR VIDEO DRONE - DOMINGUERVAS</t>
  </si>
  <si>
    <t>MENSAL MAIO 1/2</t>
  </si>
  <si>
    <t>SPORT BAR</t>
  </si>
  <si>
    <t>SPORT BAR VÍDEO MAKER IFOOD</t>
  </si>
  <si>
    <t>2/12 DRONE PAI</t>
  </si>
  <si>
    <t>LETÍCIA ENFERMEIRA</t>
  </si>
  <si>
    <t>VÍDEO IA LETÍCIA</t>
  </si>
  <si>
    <t>CORTE PODCAST 1/5</t>
  </si>
  <si>
    <t>M3</t>
  </si>
  <si>
    <t>UBER IDA E VOLTA</t>
  </si>
  <si>
    <t>5 CORTES - APP</t>
  </si>
  <si>
    <t>FUGITA</t>
  </si>
  <si>
    <t>NESTOR ANIV</t>
  </si>
  <si>
    <t>JUNHO</t>
  </si>
  <si>
    <t>CHAT GPT MENSAL</t>
  </si>
  <si>
    <t>KES SPORTWEAR</t>
  </si>
  <si>
    <t>LOGO</t>
  </si>
  <si>
    <t>ESTABILIZADOR</t>
  </si>
  <si>
    <t>DI RAPHA 1 MÊS</t>
  </si>
  <si>
    <t>MENSAL DI RAPHA 1/2</t>
  </si>
  <si>
    <t>MENSAL M3</t>
  </si>
  <si>
    <t>INVESTIMENTO CAIXINHA</t>
  </si>
  <si>
    <t>DRONE 3/12 pai</t>
  </si>
  <si>
    <t>SOCCER STATION</t>
  </si>
  <si>
    <t>soccer mensal</t>
  </si>
  <si>
    <t>JULHO</t>
  </si>
  <si>
    <t>GABI ENFERMEIRA</t>
  </si>
  <si>
    <t>VÍDEO IA + APRESENTAÇÃO COM PÉ EM PODCAST</t>
  </si>
  <si>
    <t>DOM TUGAS</t>
  </si>
  <si>
    <t>PRODUÇÃO DE CONTEÚDO COM UM PÉ NO MENSAL - 50 DE APOSTA PQ SOU BABACA</t>
  </si>
  <si>
    <t>DIEGO DRONE (ainda falta)</t>
  </si>
  <si>
    <t>2 vídeos de apartamentos q vao subir</t>
  </si>
  <si>
    <t>LEDS</t>
  </si>
  <si>
    <t>2 leds e tripé</t>
  </si>
  <si>
    <t>DRONE 4/12 PAI</t>
  </si>
  <si>
    <t>ENFERMEIRAS</t>
  </si>
  <si>
    <t>MENSAL - GRAVAÇÃO 2 ENFERMEIRAS</t>
  </si>
  <si>
    <t>MENSAL TURBO CLOUD</t>
  </si>
  <si>
    <t>SOCCER MENSAL</t>
  </si>
  <si>
    <t>SOCCER MENSAL JULHO</t>
  </si>
  <si>
    <t>AGOSTO</t>
  </si>
  <si>
    <t>COMBO JATOBAH</t>
  </si>
  <si>
    <t>CHAT GPT VEIO DOBRADO</t>
  </si>
  <si>
    <t>CHAT GPT JUNHO E JULHO</t>
  </si>
  <si>
    <t>FATURA JULHO</t>
  </si>
  <si>
    <t>MICROFONE E REBATEDOR</t>
  </si>
  <si>
    <t>PAGOU TUDO DO CARDÁPIO</t>
  </si>
  <si>
    <t>GASOLINA PRA IR GRAVAR DE DRONE</t>
  </si>
  <si>
    <t>DRINKS ESPANHOL</t>
  </si>
  <si>
    <t>UBER ATÉ M3</t>
  </si>
  <si>
    <t>THIAGO DRONE</t>
  </si>
  <si>
    <t>THIAGO DRONE AMIGO FUGITA FAZENDA</t>
  </si>
  <si>
    <t>DRONE</t>
  </si>
  <si>
    <t>DRONE 5/12 PAI</t>
  </si>
  <si>
    <t>SACOU INVESTIMENTO</t>
  </si>
  <si>
    <t>RAFA DR ESPETO E DR PIZZA</t>
  </si>
  <si>
    <t>dr espeto e dr pizza (900e450)</t>
  </si>
  <si>
    <t>TECLADO E MOUSE DELL PRO MCBOOK</t>
  </si>
  <si>
    <t>ENFERMEIRAS 2 CONTRATO MENSAL</t>
  </si>
  <si>
    <t>SUPORTE MONITOR DE PAREDE</t>
  </si>
  <si>
    <t>TECLADO E MOUSE LOGITECH</t>
  </si>
  <si>
    <t>CARTÃO FATURA CHAT GPT</t>
  </si>
  <si>
    <t>SOCCER</t>
  </si>
  <si>
    <t>SOCCER AGOSTO</t>
  </si>
  <si>
    <t>NAVEGANDO SP 10 DIAS</t>
  </si>
  <si>
    <t>PRIMEIRO PAGAMENTO</t>
  </si>
  <si>
    <t>SSD</t>
  </si>
  <si>
    <t>ALMOÇO</t>
  </si>
  <si>
    <t>ALMOÇO PECATTO ENTRE ENFERMEIRAS E RENAN</t>
  </si>
  <si>
    <t>SETEMBRO</t>
  </si>
  <si>
    <t>INVESTIMENTO M PAGO</t>
  </si>
  <si>
    <t>DR ESPETO</t>
  </si>
  <si>
    <t>DR ESPETO ULTIMA MENSAL</t>
  </si>
  <si>
    <t>DR ESPETO ÚLTIMA MENSAL</t>
  </si>
  <si>
    <t>GESTAO PRÁTICA</t>
  </si>
  <si>
    <t>PRIMEIRO PAGAMENTO GESTÃO</t>
  </si>
  <si>
    <t>DI RAPHA PAGOU</t>
  </si>
  <si>
    <t>NONNA ULTIMO MENSAL</t>
  </si>
  <si>
    <t>REGISTRO BR</t>
  </si>
  <si>
    <t>ESPANHOL AGOSTO</t>
  </si>
  <si>
    <t>PAGOU PARA RALPH AP DA KAU</t>
  </si>
  <si>
    <t>RALPH</t>
  </si>
  <si>
    <t>AUDREY VIANA CASAMENTO</t>
  </si>
  <si>
    <t>CASAMENTO AUDREY 1/2</t>
  </si>
  <si>
    <t>NONNALIA</t>
  </si>
  <si>
    <t>NONNA PAGOU ULTIMO MENSAL</t>
  </si>
  <si>
    <t>VÍDEO AVULSO ENFERMEIRAS</t>
  </si>
  <si>
    <t>M3 O QUE ESTAVA DEVENDO PARA REINICIAR</t>
  </si>
  <si>
    <t>PAGAMENTO DRONE PAI</t>
  </si>
  <si>
    <t>DOM TUGAS PAGAMENTO 1</t>
  </si>
  <si>
    <t>ENFERMEIRAS PAGAMENTO</t>
  </si>
  <si>
    <t>TURBO CLOUD</t>
  </si>
  <si>
    <t>99 TAXI INVESTIMENTO</t>
  </si>
  <si>
    <t>SOCCER SETEMBRO</t>
  </si>
  <si>
    <t>FREELA LOGO AVÓ</t>
  </si>
  <si>
    <t>FREELA LOGO AVÓ 1 DE 2</t>
  </si>
  <si>
    <t>OUTUBRO</t>
  </si>
  <si>
    <t>MENSAL ENZO</t>
  </si>
  <si>
    <t>INVESTIU EM BITCOIN</t>
  </si>
  <si>
    <t>BITCOIN 3000</t>
  </si>
  <si>
    <t>FILTRO DRONE</t>
  </si>
  <si>
    <t>filtro nd pro drone</t>
  </si>
  <si>
    <t>MAM VANDERLEI B</t>
  </si>
  <si>
    <t>QUINTAL DA GRANJA</t>
  </si>
  <si>
    <t>LEOZINHO</t>
  </si>
  <si>
    <t>LEOZINHO DRONE</t>
  </si>
  <si>
    <t>LENTE ANGULAR DRONE</t>
  </si>
  <si>
    <t>LENTE DRONE</t>
  </si>
  <si>
    <t>FALTA 2 PARTE DE SETEMBRO E TODA DE OUTUBRO</t>
  </si>
  <si>
    <t>NAO PAGOU A. KAU PQ ABATEU DO QUE ELA DEVIA PRO NUBANK</t>
  </si>
  <si>
    <t>EDU HOLANDA RIMAR CARTÃO</t>
  </si>
  <si>
    <t>SOCCER STATION OUTUBRO</t>
  </si>
  <si>
    <t>SOCCER OUTUBRO</t>
  </si>
  <si>
    <t>NONNA LIA RAPHA FALTA 450</t>
  </si>
  <si>
    <t>RAPHA PAGA PF</t>
  </si>
  <si>
    <t>DISKDRILL SOFTWARE</t>
  </si>
  <si>
    <t>DISKDRILL DA LIMO, DESIGNI, OPEN IA</t>
  </si>
  <si>
    <t>BET</t>
  </si>
  <si>
    <t>PAGAR BET DE VOLTA</t>
  </si>
  <si>
    <t>NOVEMBRO</t>
  </si>
  <si>
    <t>DRONE PAI</t>
  </si>
  <si>
    <t>DRONE PAI 7 de 12</t>
  </si>
  <si>
    <t>NAVEGANDO MKT</t>
  </si>
  <si>
    <t>NAVEGANDO MKT OUTUBRO E NOVEMBRO _ COMISSAO SORVETERIA</t>
  </si>
  <si>
    <t>ENZAO MENSAL</t>
  </si>
  <si>
    <t>ENZAO</t>
  </si>
  <si>
    <t>COMISSAO ICE YELLOW E RADIAL</t>
  </si>
  <si>
    <t>BINANCE</t>
  </si>
  <si>
    <t>BITCOIN 5000</t>
  </si>
  <si>
    <t>INVESTIMENTO NU BANK (CAIXINHA E RESERVA)</t>
  </si>
  <si>
    <t>TAXA CNH</t>
  </si>
  <si>
    <t>TAXA SITE</t>
  </si>
  <si>
    <t>PAI DRONE</t>
  </si>
  <si>
    <t>DRONE PAI 8 de 12</t>
  </si>
  <si>
    <t>SOCCER NOVEMBRO</t>
  </si>
  <si>
    <t>DEZEMBRO</t>
  </si>
  <si>
    <t>fogos palmeiras</t>
  </si>
  <si>
    <t>ENZO MENSAL</t>
  </si>
  <si>
    <t>ENZO MENSAL LOGO ETC</t>
  </si>
  <si>
    <t>FATURA ITI</t>
  </si>
  <si>
    <t>chat gpt</t>
  </si>
  <si>
    <t>JONAY PAGAR</t>
  </si>
  <si>
    <t>SÓLIDA TRANSPORTES</t>
  </si>
  <si>
    <t>S´PLIDA TRANSPORTES - MCDONALDS</t>
  </si>
  <si>
    <t>navegandomktq</t>
  </si>
  <si>
    <t>mensaliadade</t>
  </si>
  <si>
    <t>avulso</t>
  </si>
  <si>
    <t>enviou pra rico</t>
  </si>
  <si>
    <t>logo le precisa devolver</t>
  </si>
  <si>
    <t>mensalidade turbo</t>
  </si>
  <si>
    <t>enzão mensal</t>
  </si>
  <si>
    <t>devedor</t>
  </si>
  <si>
    <t>espanhol devendo + 600</t>
  </si>
  <si>
    <t>FALTA 2 MENSALIDADES</t>
  </si>
  <si>
    <t>JANEIRO</t>
  </si>
  <si>
    <t>CARTÃO IA</t>
  </si>
  <si>
    <t>IA CHAT GPT</t>
  </si>
  <si>
    <t>FINALIZOU DRONE PAI</t>
  </si>
  <si>
    <t>FINALIZOU DRONE</t>
  </si>
  <si>
    <t>DOM TUGAS PAGOU DEZEMBRO</t>
  </si>
  <si>
    <t>DEZEMBERO</t>
  </si>
  <si>
    <t>DOM TUGAS PAGOU JANEIRO</t>
  </si>
  <si>
    <t>ARTE BAND BIANCA</t>
  </si>
  <si>
    <t>MERCADO PAGO COFRINHO INVESTIU</t>
  </si>
  <si>
    <t>ESPANHOL FALTA 300</t>
  </si>
  <si>
    <t>FALTA 300</t>
  </si>
  <si>
    <t>CARDÁPIO DR ESPETO</t>
  </si>
  <si>
    <t>CAMISA OAKLEY</t>
  </si>
  <si>
    <t>MAE PAGOU AMAIS</t>
  </si>
  <si>
    <t>PONTIUAL</t>
  </si>
  <si>
    <t>BET CONTA KAUANY</t>
  </si>
  <si>
    <t>DOM TUGAS VC POIIS ANUNCIO</t>
  </si>
  <si>
    <t>PAGAMENTO SITE</t>
  </si>
  <si>
    <t>FEVEREIRO</t>
  </si>
  <si>
    <t>MENSAL CHAT GPT</t>
  </si>
  <si>
    <t>MARÇO</t>
  </si>
  <si>
    <t>LALA MOVE PARA KAU</t>
  </si>
  <si>
    <t>SOCCER PAGAMENTO</t>
  </si>
  <si>
    <t>REPASSA BRASIL</t>
  </si>
  <si>
    <t>REPASSA BRASIL SITES DEMANDA</t>
  </si>
  <si>
    <t>NU BANK CARTÃO</t>
  </si>
  <si>
    <t>CARRO JAMPA + ICLOUD</t>
  </si>
  <si>
    <t>ENZO MENSAL + LOGO GESTÃO</t>
  </si>
  <si>
    <t>JATOBAH</t>
  </si>
  <si>
    <t>PONTUAL DRONE CARNANEJO</t>
  </si>
  <si>
    <t>ESPANHOL FALTA 200</t>
  </si>
  <si>
    <t>ESPANHOL</t>
  </si>
  <si>
    <t>REPASSA BRASIL CONTEÚDOS MENSAIS</t>
  </si>
  <si>
    <t>MANDOU METADE PARA GUSTAVO 15*20</t>
  </si>
  <si>
    <t>INVESTIDO NO CDI DO ITAU</t>
  </si>
  <si>
    <t>INVESTIMETNO</t>
  </si>
  <si>
    <t>IA CARTAO</t>
  </si>
  <si>
    <t>DOM TUGAS FEVEREIRO</t>
  </si>
  <si>
    <t>200 P KAU OK</t>
  </si>
  <si>
    <t>ENZO FEVERERO</t>
  </si>
  <si>
    <t>ENZO MENSAL OK</t>
  </si>
  <si>
    <t>REPASSA - JA PAGOU GUSTAVO C6</t>
  </si>
  <si>
    <t>JA PAGOU NO C6</t>
  </si>
  <si>
    <t>SOCCER FEV</t>
  </si>
  <si>
    <t>DEMOROU</t>
  </si>
  <si>
    <t>registro de algo</t>
  </si>
  <si>
    <t>fatura chat gpt</t>
  </si>
  <si>
    <t>enzo pacces</t>
  </si>
  <si>
    <t>dom tugas</t>
  </si>
  <si>
    <t>repassa</t>
  </si>
  <si>
    <t>soccer</t>
  </si>
  <si>
    <t>freelas</t>
  </si>
  <si>
    <t>pai do rato drone</t>
  </si>
  <si>
    <t>mensal chat e claude</t>
  </si>
  <si>
    <t>total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</si>
</sst>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R$&quot;\ #,##0.00;[Red]\-&quot;R$&quot;\ #,##0.00"/>
    <numFmt numFmtId="164" formatCode="\R\$\ #,##0.00"/>
    <numFmt numFmtId="165" formatCode="_-[$R$-416]\ * #,##0.00_-;\-[$R$-416]\ * #,##0.00_-;_-[$R$-416]\ * &quot;-&quot;??_-;_-@"/>
    <numFmt numFmtId="166" formatCode="[$R$ -416]#,##0.00"/>
    <numFmt numFmtId="167" formatCode="d/m"/>
    <numFmt numFmtId="168" formatCode="#,##0.00000000"/>
  </numFmts>
  <fonts count="39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7"/>
      <color theme="1"/>
      <name val="Rubik"/>
    </font>
    <font>
      <b/>
      <sz val="7"/>
      <color theme="1"/>
      <name val="Rubik"/>
    </font>
    <font>
      <sz val="11"/>
      <color theme="1"/>
      <name val="Arial"/>
      <family val="2"/>
    </font>
    <font>
      <b/>
      <sz val="12"/>
      <color theme="1"/>
      <name val="Calibri"/>
      <family val="2"/>
    </font>
    <font>
      <b/>
      <sz val="10"/>
      <color rgb="FFFFFFFF"/>
      <name val="Rubik"/>
    </font>
    <font>
      <b/>
      <sz val="8"/>
      <color theme="1"/>
      <name val="Rubik"/>
    </font>
    <font>
      <sz val="8"/>
      <color theme="1"/>
      <name val="Rubik"/>
    </font>
    <font>
      <sz val="8"/>
      <color rgb="FF1C4587"/>
      <name val="Rubik"/>
    </font>
    <font>
      <sz val="8"/>
      <color rgb="FF980000"/>
      <name val="Rubik"/>
    </font>
    <font>
      <b/>
      <sz val="8"/>
      <color rgb="FF980000"/>
      <name val="Rubik"/>
    </font>
    <font>
      <sz val="8"/>
      <color theme="1"/>
      <name val="Arial"/>
      <family val="2"/>
    </font>
    <font>
      <b/>
      <sz val="8"/>
      <color rgb="FFFFFFFF"/>
      <name val="Rubik"/>
    </font>
    <font>
      <sz val="8"/>
      <color theme="1"/>
      <name val="Aptos Narrow"/>
    </font>
    <font>
      <sz val="8"/>
      <color rgb="FFFFFFFF"/>
      <name val="Rubik"/>
    </font>
    <font>
      <sz val="11"/>
      <name val="Arial"/>
      <family val="2"/>
    </font>
    <font>
      <b/>
      <sz val="10"/>
      <color theme="1"/>
      <name val="Arial"/>
      <family val="2"/>
    </font>
    <font>
      <sz val="8"/>
      <color rgb="FF000000"/>
      <name val="Rubik"/>
    </font>
    <font>
      <sz val="8"/>
      <color rgb="FF000000"/>
      <name val="Arial"/>
      <family val="2"/>
    </font>
    <font>
      <sz val="8"/>
      <color rgb="FF000000"/>
      <name val="Aptos Narrow"/>
    </font>
    <font>
      <sz val="7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Rubik"/>
    </font>
    <font>
      <sz val="10"/>
      <color theme="1"/>
      <name val="Rubik"/>
    </font>
    <font>
      <sz val="10"/>
      <color rgb="FF3D3D3D"/>
      <name val="Rubik"/>
    </font>
    <font>
      <sz val="10"/>
      <color rgb="FFBFE0F6"/>
      <name val="Rubik"/>
    </font>
    <font>
      <sz val="10"/>
      <color rgb="FFC6DBE1"/>
      <name val="Rubik"/>
    </font>
    <font>
      <sz val="10"/>
      <color rgb="FFFFCFC9"/>
      <name val="Rubik"/>
    </font>
    <font>
      <sz val="10"/>
      <color rgb="FFFFE5A0"/>
      <name val="Rubik"/>
    </font>
    <font>
      <sz val="10"/>
      <color rgb="FFB10202"/>
      <name val="Rubik"/>
    </font>
    <font>
      <sz val="10"/>
      <color rgb="FF753800"/>
      <name val="Rubik"/>
    </font>
    <font>
      <sz val="10"/>
      <color rgb="FF473821"/>
      <name val="Rubik"/>
    </font>
    <font>
      <sz val="10"/>
      <color rgb="FF11734B"/>
      <name val="Rubik"/>
    </font>
    <font>
      <sz val="10"/>
      <color rgb="FF0A53A8"/>
      <name val="Rubik"/>
    </font>
    <font>
      <sz val="10"/>
      <color rgb="FF215A6C"/>
      <name val="Rubik"/>
    </font>
    <font>
      <sz val="10"/>
      <color rgb="FF5A3286"/>
      <name val="Rubik"/>
    </font>
    <font>
      <sz val="10"/>
      <color rgb="FFE5E5E5"/>
      <name val="Rubik"/>
    </font>
    <font>
      <sz val="10"/>
      <color rgb="FFFFC8AA"/>
      <name val="Rubik"/>
    </font>
  </fonts>
  <fills count="17">
    <fill>
      <patternFill patternType="none"/>
    </fill>
    <fill>
      <patternFill patternType="gray125"/>
    </fill>
    <fill>
      <patternFill patternType="solid">
        <fgColor rgb="FF22C55E"/>
        <bgColor rgb="FF22C55E"/>
      </patternFill>
    </fill>
    <fill>
      <patternFill patternType="solid">
        <fgColor theme="7"/>
        <bgColor theme="7"/>
      </patternFill>
    </fill>
    <fill>
      <patternFill patternType="solid">
        <fgColor rgb="FF3C78D8"/>
        <bgColor rgb="FF3C78D8"/>
      </patternFill>
    </fill>
    <fill>
      <patternFill patternType="solid">
        <fgColor rgb="FF9900FF"/>
        <bgColor rgb="FF9900FF"/>
      </patternFill>
    </fill>
    <fill>
      <patternFill patternType="solid">
        <fgColor rgb="FF6FA8DC"/>
        <bgColor rgb="FF6FA8DC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674EA7"/>
        <bgColor rgb="FF674EA7"/>
      </patternFill>
    </fill>
    <fill>
      <patternFill patternType="solid">
        <fgColor rgb="FFB7B7B7"/>
        <bgColor rgb="FFB7B7B7"/>
      </patternFill>
    </fill>
    <fill>
      <patternFill patternType="solid">
        <fgColor rgb="FF0000FF"/>
        <bgColor rgb="FF0000FF"/>
      </patternFill>
    </fill>
    <fill>
      <patternFill patternType="solid">
        <fgColor rgb="FF741B47"/>
        <bgColor rgb="FF741B47"/>
      </patternFill>
    </fill>
    <fill>
      <patternFill patternType="solid">
        <fgColor rgb="FF4A86E8"/>
        <bgColor rgb="FF4A86E8"/>
      </patternFill>
    </fill>
    <fill>
      <patternFill patternType="solid">
        <fgColor rgb="FF7F6000"/>
        <bgColor rgb="FF7F6000"/>
      </patternFill>
    </fill>
    <fill>
      <patternFill patternType="solid">
        <fgColor rgb="FFB4A7D6"/>
        <bgColor rgb="FFB4A7D6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8" fontId="2" fillId="0" borderId="0" xfId="0" applyNumberFormat="1" applyFont="1"/>
    <xf numFmtId="16" fontId="2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" fontId="0" fillId="0" borderId="1" xfId="0" applyNumberFormat="1" applyBorder="1" applyAlignment="1">
      <alignment horizontal="center" vertical="center"/>
    </xf>
    <xf numFmtId="8" fontId="2" fillId="0" borderId="0" xfId="0" applyNumberFormat="1" applyFont="1" applyAlignment="1">
      <alignment horizontal="center" vertical="center"/>
    </xf>
    <xf numFmtId="1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8" fillId="0" borderId="0" xfId="0" applyFont="1"/>
    <xf numFmtId="165" fontId="6" fillId="3" borderId="4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vertical="center"/>
    </xf>
    <xf numFmtId="166" fontId="6" fillId="4" borderId="4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vertical="center"/>
    </xf>
    <xf numFmtId="166" fontId="6" fillId="6" borderId="4" xfId="0" applyNumberFormat="1" applyFont="1" applyFill="1" applyBorder="1" applyAlignment="1">
      <alignment horizontal="center" vertical="center"/>
    </xf>
    <xf numFmtId="165" fontId="8" fillId="0" borderId="4" xfId="0" applyNumberFormat="1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9" fillId="0" borderId="6" xfId="0" applyFont="1" applyBorder="1" applyAlignment="1">
      <alignment horizontal="center" vertical="center"/>
    </xf>
    <xf numFmtId="166" fontId="11" fillId="0" borderId="3" xfId="0" applyNumberFormat="1" applyFont="1" applyBorder="1" applyAlignment="1">
      <alignment horizontal="center" vertical="center"/>
    </xf>
    <xf numFmtId="165" fontId="8" fillId="7" borderId="4" xfId="0" applyNumberFormat="1" applyFont="1" applyFill="1" applyBorder="1" applyAlignment="1">
      <alignment horizontal="center" vertical="center"/>
    </xf>
    <xf numFmtId="167" fontId="18" fillId="0" borderId="7" xfId="0" applyNumberFormat="1" applyFont="1" applyBorder="1" applyAlignment="1">
      <alignment horizontal="center" vertical="center"/>
    </xf>
    <xf numFmtId="4" fontId="18" fillId="0" borderId="7" xfId="0" applyNumberFormat="1" applyFont="1" applyBorder="1" applyAlignment="1">
      <alignment horizontal="center" vertical="center"/>
    </xf>
    <xf numFmtId="166" fontId="18" fillId="0" borderId="7" xfId="0" applyNumberFormat="1" applyFont="1" applyBorder="1" applyAlignment="1">
      <alignment horizontal="center" vertical="center"/>
    </xf>
    <xf numFmtId="168" fontId="18" fillId="0" borderId="7" xfId="0" applyNumberFormat="1" applyFont="1" applyBorder="1" applyAlignment="1">
      <alignment horizontal="center" vertical="center"/>
    </xf>
    <xf numFmtId="167" fontId="8" fillId="8" borderId="4" xfId="0" applyNumberFormat="1" applyFont="1" applyFill="1" applyBorder="1" applyAlignment="1">
      <alignment horizontal="center" vertical="center"/>
    </xf>
    <xf numFmtId="165" fontId="13" fillId="4" borderId="4" xfId="0" applyNumberFormat="1" applyFont="1" applyFill="1" applyBorder="1" applyAlignment="1">
      <alignment horizontal="center" vertical="center"/>
    </xf>
    <xf numFmtId="165" fontId="13" fillId="9" borderId="4" xfId="0" applyNumberFormat="1" applyFont="1" applyFill="1" applyBorder="1" applyAlignment="1">
      <alignment horizontal="center" vertical="center"/>
    </xf>
    <xf numFmtId="165" fontId="13" fillId="10" borderId="4" xfId="0" applyNumberFormat="1" applyFont="1" applyFill="1" applyBorder="1" applyAlignment="1">
      <alignment horizontal="center" vertical="center"/>
    </xf>
    <xf numFmtId="4" fontId="19" fillId="0" borderId="7" xfId="0" applyNumberFormat="1" applyFont="1" applyBorder="1" applyAlignment="1">
      <alignment horizontal="center" vertical="center"/>
    </xf>
    <xf numFmtId="165" fontId="13" fillId="11" borderId="4" xfId="0" applyNumberFormat="1" applyFont="1" applyFill="1" applyBorder="1" applyAlignment="1">
      <alignment horizontal="center" vertical="center"/>
    </xf>
    <xf numFmtId="4" fontId="20" fillId="0" borderId="7" xfId="0" applyNumberFormat="1" applyFont="1" applyBorder="1" applyAlignment="1">
      <alignment horizontal="center" vertical="center"/>
    </xf>
    <xf numFmtId="165" fontId="13" fillId="13" borderId="4" xfId="0" applyNumberFormat="1" applyFont="1" applyFill="1" applyBorder="1" applyAlignment="1">
      <alignment horizontal="center" vertical="center"/>
    </xf>
    <xf numFmtId="0" fontId="15" fillId="14" borderId="0" xfId="0" applyFont="1" applyFill="1" applyAlignment="1">
      <alignment horizontal="center" vertical="center"/>
    </xf>
    <xf numFmtId="165" fontId="13" fillId="15" borderId="4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vertical="top" wrapText="1"/>
    </xf>
    <xf numFmtId="0" fontId="12" fillId="0" borderId="0" xfId="0" applyFont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5" fontId="8" fillId="16" borderId="4" xfId="0" applyNumberFormat="1" applyFont="1" applyFill="1" applyBorder="1" applyAlignment="1">
      <alignment horizontal="center" vertical="center"/>
    </xf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16" fontId="24" fillId="0" borderId="0" xfId="0" applyNumberFormat="1" applyFont="1"/>
    <xf numFmtId="8" fontId="24" fillId="0" borderId="0" xfId="0" applyNumberFormat="1" applyFont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5" fillId="0" borderId="0" xfId="0" applyFont="1"/>
    <xf numFmtId="0" fontId="36" fillId="0" borderId="0" xfId="0" applyFont="1"/>
    <xf numFmtId="0" fontId="37" fillId="0" borderId="0" xfId="0" applyFont="1"/>
    <xf numFmtId="0" fontId="38" fillId="0" borderId="0" xfId="0" applyFont="1"/>
    <xf numFmtId="165" fontId="7" fillId="7" borderId="2" xfId="0" applyNumberFormat="1" applyFont="1" applyFill="1" applyBorder="1" applyAlignment="1">
      <alignment horizontal="center" vertical="center"/>
    </xf>
    <xf numFmtId="0" fontId="16" fillId="0" borderId="3" xfId="0" applyFont="1" applyBorder="1"/>
    <xf numFmtId="165" fontId="7" fillId="16" borderId="2" xfId="0" applyNumberFormat="1" applyFont="1" applyFill="1" applyBorder="1" applyAlignment="1">
      <alignment horizontal="center" vertical="center"/>
    </xf>
    <xf numFmtId="165" fontId="13" fillId="13" borderId="2" xfId="0" applyNumberFormat="1" applyFont="1" applyFill="1" applyBorder="1" applyAlignment="1">
      <alignment horizontal="center" vertical="center"/>
    </xf>
    <xf numFmtId="165" fontId="7" fillId="8" borderId="2" xfId="0" applyNumberFormat="1" applyFont="1" applyFill="1" applyBorder="1" applyAlignment="1">
      <alignment horizontal="center" vertical="center"/>
    </xf>
    <xf numFmtId="165" fontId="13" fillId="15" borderId="2" xfId="0" applyNumberFormat="1" applyFont="1" applyFill="1" applyBorder="1" applyAlignment="1">
      <alignment horizontal="center" vertical="center"/>
    </xf>
    <xf numFmtId="165" fontId="13" fillId="11" borderId="2" xfId="0" applyNumberFormat="1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6" fillId="0" borderId="5" xfId="0" applyFont="1" applyBorder="1"/>
    <xf numFmtId="166" fontId="8" fillId="0" borderId="8" xfId="0" applyNumberFormat="1" applyFont="1" applyBorder="1" applyAlignment="1">
      <alignment horizontal="center" vertical="center"/>
    </xf>
    <xf numFmtId="0" fontId="16" fillId="0" borderId="9" xfId="0" applyFont="1" applyBorder="1"/>
    <xf numFmtId="166" fontId="8" fillId="0" borderId="9" xfId="0" applyNumberFormat="1" applyFont="1" applyBorder="1" applyAlignment="1">
      <alignment horizontal="center" vertical="center"/>
    </xf>
    <xf numFmtId="0" fontId="16" fillId="0" borderId="10" xfId="0" applyFont="1" applyBorder="1"/>
    <xf numFmtId="165" fontId="13" fillId="4" borderId="2" xfId="0" applyNumberFormat="1" applyFont="1" applyFill="1" applyBorder="1" applyAlignment="1">
      <alignment horizontal="center" vertical="center"/>
    </xf>
    <xf numFmtId="165" fontId="13" fillId="9" borderId="2" xfId="0" applyNumberFormat="1" applyFont="1" applyFill="1" applyBorder="1" applyAlignment="1">
      <alignment horizontal="center" vertical="center"/>
    </xf>
    <xf numFmtId="165" fontId="13" fillId="10" borderId="2" xfId="0" applyNumberFormat="1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horizontal="center" vertical="center"/>
    </xf>
    <xf numFmtId="165" fontId="6" fillId="3" borderId="2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65" fontId="7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cas Verras" id="{7229AFAE-2FC5-5649-9445-C7E5B1387092}" userId="" providerId="google-sheets"/>
  <person displayName="Lucas Verras || mosaiclab ||" id="{D5BF727D-F488-DE4C-855F-6C2E5D77B8FA}" userId="S::lucas.verras@mosaiclab.com.br::aa637ad1-0d52-4be7-b72d-22a7ef31d39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8" dT="2026-05-18T01:49:04.55" personId="{D5BF727D-F488-DE4C-855F-6C2E5D77B8FA}" id="{04A1B058-BBDA-4B4B-B61F-08EB6F068AF3}">
    <text xml:space="preserve">INVESTIDO		R$ 20.944,00	
R$ 3.000,00		20/6	
R$ 3.200,00		15/6	
-R$ 6.296,95		22/8	
R$ 5.340,95		23/2	
-R$ 300,00		1/3	
R$ 4.000,00		14/3	
-R$ 3.000,00		25/3	
R$ 3.000,00		30/3	
R$ 12.000,00		8/5	</text>
  </threadedComment>
  <threadedComment ref="B9" dT="2025-12-10T06:01:12.00" personId="{7229AFAE-2FC5-5649-9445-C7E5B1387092}" id="{3ECC8542-87C5-244C-AFA8-0ED702FB792D}" done="1">
    <text>tem lucro camisetas pandolfi e caio, tem ucro do ssd que a kau pagou por cima do ano novo, era 5900 (era 7k mas vc perdeu 1100 no palmeiras)</text>
  </threadedComment>
  <threadedComment ref="D11" dT="2026-05-09T06:25:40.00" personId="{7229AFAE-2FC5-5649-9445-C7E5B1387092}" id="{BA1E77B1-5BAF-E04A-873B-C8CD262AE61E}">
    <text>DIA 30 DE MARÇO DE 2026 INVESTIU NA LCL - 6000</text>
  </threadedComment>
</ThreadedComment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1"/>
  <sheetViews>
    <sheetView zoomScale="161" zoomScaleNormal="161" workbookViewId="0">
      <pane ySplit="1" topLeftCell="A2" activePane="bottomLeft" state="frozen"/>
      <selection pane="bottomLeft" activeCell="C4" sqref="C4"/>
    </sheetView>
  </sheetViews>
  <sheetFormatPr baseColWidth="10" defaultColWidth="8.83203125" defaultRowHeight="15"/>
  <cols>
    <col min="1" max="2" width="14" style="16" customWidth="1"/>
    <col min="3" max="3" width="40" style="16" customWidth="1"/>
    <col min="4" max="4" width="12" style="16" customWidth="1"/>
    <col min="5" max="16384" width="8.83203125" style="16"/>
  </cols>
  <sheetData>
    <row r="1" spans="1:4" ht="25" customHeight="1">
      <c r="A1" s="15" t="s">
        <v>0</v>
      </c>
      <c r="B1" s="15" t="s">
        <v>1</v>
      </c>
      <c r="C1" s="15" t="s">
        <v>2</v>
      </c>
      <c r="D1" s="15" t="s">
        <v>3</v>
      </c>
    </row>
    <row r="2" spans="1:4">
      <c r="A2" s="11">
        <v>-204.5</v>
      </c>
      <c r="B2" s="12">
        <v>46082</v>
      </c>
      <c r="C2" s="13" t="s">
        <v>136</v>
      </c>
      <c r="D2" s="14" t="s">
        <v>4</v>
      </c>
    </row>
    <row r="3" spans="1:4">
      <c r="A3" s="11">
        <v>-97.36</v>
      </c>
      <c r="B3" s="12">
        <v>46082</v>
      </c>
      <c r="C3" s="13" t="s">
        <v>137</v>
      </c>
      <c r="D3" s="14" t="s">
        <v>5</v>
      </c>
    </row>
    <row r="4" spans="1:4">
      <c r="A4" s="11">
        <v>-23</v>
      </c>
      <c r="B4" s="12">
        <v>46085</v>
      </c>
      <c r="C4" s="13" t="s">
        <v>6</v>
      </c>
      <c r="D4" s="14" t="s">
        <v>7</v>
      </c>
    </row>
    <row r="5" spans="1:4">
      <c r="A5" s="11">
        <v>-12.99</v>
      </c>
      <c r="B5" s="12">
        <v>46087</v>
      </c>
      <c r="C5" s="13" t="s">
        <v>8</v>
      </c>
      <c r="D5" s="14" t="s">
        <v>9</v>
      </c>
    </row>
    <row r="6" spans="1:4">
      <c r="A6" s="11">
        <v>-337.27</v>
      </c>
      <c r="B6" s="12">
        <v>46089</v>
      </c>
      <c r="C6" s="13" t="s">
        <v>10</v>
      </c>
      <c r="D6" s="14" t="s">
        <v>11</v>
      </c>
    </row>
    <row r="7" spans="1:4">
      <c r="A7" s="11">
        <v>-23.95</v>
      </c>
      <c r="B7" s="12">
        <v>46089</v>
      </c>
      <c r="C7" s="13" t="s">
        <v>12</v>
      </c>
      <c r="D7" s="14" t="s">
        <v>13</v>
      </c>
    </row>
    <row r="8" spans="1:4">
      <c r="A8" s="11">
        <v>-124.3</v>
      </c>
      <c r="B8" s="12">
        <v>46089</v>
      </c>
      <c r="C8" s="13" t="s">
        <v>14</v>
      </c>
      <c r="D8" s="14" t="s">
        <v>9</v>
      </c>
    </row>
    <row r="9" spans="1:4">
      <c r="A9" s="11">
        <v>-90.98</v>
      </c>
      <c r="B9" s="12">
        <v>46095</v>
      </c>
      <c r="C9" s="13" t="s">
        <v>15</v>
      </c>
      <c r="D9" s="14" t="s">
        <v>13</v>
      </c>
    </row>
    <row r="10" spans="1:4">
      <c r="A10" s="11">
        <v>-97.56</v>
      </c>
      <c r="B10" s="12">
        <v>46095</v>
      </c>
      <c r="C10" s="13" t="s">
        <v>16</v>
      </c>
      <c r="D10" s="14" t="s">
        <v>9</v>
      </c>
    </row>
    <row r="11" spans="1:4">
      <c r="A11" s="11">
        <v>-25</v>
      </c>
      <c r="B11" s="12">
        <v>46095</v>
      </c>
      <c r="C11" s="13" t="s">
        <v>17</v>
      </c>
      <c r="D11" s="14" t="s">
        <v>18</v>
      </c>
    </row>
    <row r="12" spans="1:4">
      <c r="A12" s="11">
        <v>-97.2</v>
      </c>
      <c r="B12" s="12">
        <v>46096</v>
      </c>
      <c r="C12" s="13" t="s">
        <v>19</v>
      </c>
      <c r="D12" s="14" t="s">
        <v>11</v>
      </c>
    </row>
    <row r="13" spans="1:4">
      <c r="A13" s="11">
        <v>-33.96</v>
      </c>
      <c r="B13" s="12">
        <v>46096</v>
      </c>
      <c r="C13" s="13" t="s">
        <v>20</v>
      </c>
      <c r="D13" s="14" t="s">
        <v>11</v>
      </c>
    </row>
    <row r="14" spans="1:4">
      <c r="A14" s="11">
        <v>-14.95</v>
      </c>
      <c r="B14" s="13" t="s">
        <v>21</v>
      </c>
      <c r="C14" s="13" t="s">
        <v>22</v>
      </c>
      <c r="D14" s="14" t="s">
        <v>13</v>
      </c>
    </row>
    <row r="15" spans="1:4">
      <c r="A15" s="11">
        <v>-11</v>
      </c>
      <c r="B15" s="13" t="s">
        <v>21</v>
      </c>
      <c r="C15" s="13" t="s">
        <v>23</v>
      </c>
      <c r="D15" s="14" t="s">
        <v>9</v>
      </c>
    </row>
    <row r="16" spans="1:4">
      <c r="A16" s="11">
        <v>-283.33</v>
      </c>
      <c r="B16" s="12">
        <v>46102</v>
      </c>
      <c r="C16" s="13" t="s">
        <v>24</v>
      </c>
      <c r="D16" s="14" t="s">
        <v>11</v>
      </c>
    </row>
    <row r="17" spans="1:4">
      <c r="A17" s="11">
        <v>-50</v>
      </c>
      <c r="B17" s="12">
        <v>46102</v>
      </c>
      <c r="C17" s="13" t="s">
        <v>25</v>
      </c>
      <c r="D17" s="14" t="s">
        <v>26</v>
      </c>
    </row>
    <row r="18" spans="1:4">
      <c r="A18" s="11">
        <v>-203.38</v>
      </c>
      <c r="B18" s="12">
        <v>46102</v>
      </c>
      <c r="C18" s="13" t="s">
        <v>27</v>
      </c>
      <c r="D18" s="14" t="s">
        <v>11</v>
      </c>
    </row>
    <row r="19" spans="1:4">
      <c r="A19" s="11">
        <v>-62.6</v>
      </c>
      <c r="B19" s="12">
        <v>46103</v>
      </c>
      <c r="C19" s="13" t="s">
        <v>28</v>
      </c>
      <c r="D19" s="14" t="s">
        <v>11</v>
      </c>
    </row>
    <row r="20" spans="1:4">
      <c r="A20" s="11">
        <v>-26.57</v>
      </c>
      <c r="B20" s="12">
        <v>46103</v>
      </c>
      <c r="C20" s="13" t="s">
        <v>23</v>
      </c>
      <c r="D20" s="14" t="s">
        <v>11</v>
      </c>
    </row>
    <row r="21" spans="1:4">
      <c r="A21" s="11">
        <v>-153.06</v>
      </c>
      <c r="B21" s="12">
        <v>46105</v>
      </c>
      <c r="C21" s="13" t="s">
        <v>29</v>
      </c>
      <c r="D21" s="14" t="s">
        <v>30</v>
      </c>
    </row>
    <row r="22" spans="1:4">
      <c r="A22" s="11">
        <v>-89.9</v>
      </c>
      <c r="B22" s="12">
        <v>46107</v>
      </c>
      <c r="C22" s="13" t="s">
        <v>31</v>
      </c>
      <c r="D22" s="14" t="s">
        <v>32</v>
      </c>
    </row>
    <row r="23" spans="1:4">
      <c r="A23" s="11">
        <v>-156.94</v>
      </c>
      <c r="B23" s="12">
        <v>46107</v>
      </c>
      <c r="C23" s="13" t="s">
        <v>33</v>
      </c>
      <c r="D23" s="14" t="s">
        <v>30</v>
      </c>
    </row>
    <row r="24" spans="1:4">
      <c r="A24" s="11">
        <v>-280.7</v>
      </c>
      <c r="B24" s="12">
        <v>46107</v>
      </c>
      <c r="C24" s="13" t="s">
        <v>34</v>
      </c>
      <c r="D24" s="14" t="s">
        <v>11</v>
      </c>
    </row>
    <row r="25" spans="1:4">
      <c r="A25" s="11">
        <v>-179.72</v>
      </c>
      <c r="B25" s="12">
        <v>46109</v>
      </c>
      <c r="C25" s="13" t="s">
        <v>35</v>
      </c>
      <c r="D25" s="14" t="s">
        <v>13</v>
      </c>
    </row>
    <row r="26" spans="1:4">
      <c r="A26" s="11">
        <v>-50</v>
      </c>
      <c r="B26" s="12">
        <v>46110</v>
      </c>
      <c r="C26" s="13" t="s">
        <v>36</v>
      </c>
      <c r="D26" s="14" t="s">
        <v>37</v>
      </c>
    </row>
    <row r="27" spans="1:4">
      <c r="A27" s="11">
        <v>-50.64</v>
      </c>
      <c r="B27" s="12">
        <v>46111</v>
      </c>
      <c r="C27" s="13" t="s">
        <v>38</v>
      </c>
      <c r="D27" s="14" t="s">
        <v>13</v>
      </c>
    </row>
    <row r="28" spans="1:4">
      <c r="A28" s="17"/>
      <c r="B28" s="3"/>
      <c r="C28" s="3"/>
      <c r="D28" s="3"/>
    </row>
    <row r="29" spans="1:4">
      <c r="A29" s="17"/>
      <c r="B29" s="3"/>
      <c r="C29" s="3"/>
      <c r="D29" s="3"/>
    </row>
    <row r="30" spans="1:4">
      <c r="A30" s="17"/>
      <c r="B30" s="3"/>
      <c r="C30" s="3"/>
      <c r="D30" s="3"/>
    </row>
    <row r="31" spans="1:4">
      <c r="A31" s="17"/>
      <c r="B31" s="3"/>
      <c r="C31" s="3"/>
      <c r="D31" s="3"/>
    </row>
    <row r="32" spans="1:4">
      <c r="A32" s="17"/>
      <c r="B32" s="3"/>
      <c r="C32" s="3"/>
      <c r="D32" s="3"/>
    </row>
    <row r="33" spans="1:4">
      <c r="A33" s="17"/>
      <c r="B33" s="3"/>
      <c r="C33" s="3"/>
      <c r="D33" s="3"/>
    </row>
    <row r="34" spans="1:4">
      <c r="A34" s="17"/>
      <c r="B34" s="3"/>
      <c r="C34" s="3"/>
      <c r="D34" s="3"/>
    </row>
    <row r="35" spans="1:4">
      <c r="A35" s="17"/>
      <c r="B35" s="3"/>
      <c r="C35" s="3"/>
      <c r="D35" s="3"/>
    </row>
    <row r="36" spans="1:4">
      <c r="A36" s="17"/>
      <c r="B36" s="3"/>
      <c r="C36" s="3"/>
      <c r="D36" s="3"/>
    </row>
    <row r="37" spans="1:4">
      <c r="A37" s="17"/>
      <c r="B37" s="3"/>
      <c r="C37" s="3"/>
      <c r="D37" s="3"/>
    </row>
    <row r="38" spans="1:4">
      <c r="A38" s="17"/>
      <c r="B38" s="3"/>
      <c r="C38" s="3"/>
      <c r="D38" s="3"/>
    </row>
    <row r="39" spans="1:4">
      <c r="A39" s="17"/>
      <c r="B39" s="3"/>
      <c r="C39" s="3"/>
      <c r="D39" s="3"/>
    </row>
    <row r="40" spans="1:4">
      <c r="A40" s="17"/>
      <c r="B40" s="3"/>
      <c r="C40" s="3"/>
      <c r="D40" s="3"/>
    </row>
    <row r="41" spans="1:4">
      <c r="A41" s="17"/>
      <c r="B41" s="3"/>
      <c r="C41" s="3"/>
      <c r="D41" s="3"/>
    </row>
    <row r="42" spans="1:4">
      <c r="A42" s="17"/>
      <c r="B42" s="3"/>
      <c r="C42" s="3"/>
      <c r="D42" s="3"/>
    </row>
    <row r="43" spans="1:4">
      <c r="A43" s="17"/>
      <c r="B43" s="3"/>
      <c r="C43" s="3"/>
      <c r="D43" s="3"/>
    </row>
    <row r="44" spans="1:4">
      <c r="A44" s="17"/>
      <c r="B44" s="3"/>
      <c r="C44" s="3"/>
      <c r="D44" s="3"/>
    </row>
    <row r="45" spans="1:4">
      <c r="A45" s="17"/>
      <c r="B45" s="3"/>
      <c r="C45" s="3"/>
      <c r="D45" s="3"/>
    </row>
    <row r="46" spans="1:4">
      <c r="A46" s="17"/>
      <c r="B46" s="3"/>
      <c r="C46" s="3"/>
      <c r="D46" s="3"/>
    </row>
    <row r="47" spans="1:4">
      <c r="A47" s="17"/>
      <c r="B47" s="3"/>
      <c r="C47" s="3"/>
      <c r="D47" s="3"/>
    </row>
    <row r="48" spans="1:4">
      <c r="A48" s="17"/>
      <c r="B48" s="3"/>
      <c r="C48" s="3"/>
      <c r="D48" s="3"/>
    </row>
    <row r="49" spans="1:4">
      <c r="A49" s="17"/>
      <c r="B49" s="3"/>
      <c r="C49" s="3"/>
      <c r="D49" s="3"/>
    </row>
    <row r="50" spans="1:4">
      <c r="A50" s="17"/>
      <c r="B50" s="3"/>
      <c r="C50" s="3"/>
      <c r="D50" s="3"/>
    </row>
    <row r="51" spans="1:4">
      <c r="A51" s="17"/>
      <c r="B51" s="3"/>
      <c r="C51" s="3"/>
      <c r="D51" s="3"/>
    </row>
  </sheetData>
  <dataValidations count="1">
    <dataValidation type="list" errorTitle="Tipo Inválido" error="Digite &quot;entrada&quot; ou &quot;saída&quot;" sqref="D28:D51" xr:uid="{00000000-0002-0000-0000-000000000000}">
      <formula1>"entrada,saída"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1"/>
  <sheetViews>
    <sheetView zoomScale="213" zoomScaleNormal="213" workbookViewId="0">
      <pane ySplit="1" topLeftCell="A17" activePane="bottomLeft" state="frozen"/>
      <selection pane="bottomLeft" sqref="A1:A1048576"/>
    </sheetView>
  </sheetViews>
  <sheetFormatPr baseColWidth="10" defaultColWidth="8.83203125" defaultRowHeight="15"/>
  <cols>
    <col min="1" max="2" width="14" customWidth="1"/>
    <col min="3" max="3" width="40" customWidth="1"/>
    <col min="4" max="4" width="12" customWidth="1"/>
  </cols>
  <sheetData>
    <row r="1" spans="1:4" ht="25" customHeight="1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s="5">
        <v>757.49</v>
      </c>
      <c r="B2" s="9"/>
      <c r="C2" s="7" t="s">
        <v>66</v>
      </c>
      <c r="D2" s="9"/>
    </row>
    <row r="3" spans="1:4">
      <c r="A3" s="5">
        <v>-617.55999999999995</v>
      </c>
      <c r="B3" s="6">
        <v>46082</v>
      </c>
      <c r="C3" s="7" t="s">
        <v>39</v>
      </c>
      <c r="D3" s="8" t="s">
        <v>32</v>
      </c>
    </row>
    <row r="4" spans="1:4">
      <c r="A4" s="5">
        <v>-135</v>
      </c>
      <c r="B4" s="6">
        <v>46082</v>
      </c>
      <c r="C4" s="7" t="s">
        <v>40</v>
      </c>
      <c r="D4" s="8" t="s">
        <v>40</v>
      </c>
    </row>
    <row r="5" spans="1:4">
      <c r="A5" s="5">
        <v>3371.92</v>
      </c>
      <c r="B5" s="6">
        <v>46083</v>
      </c>
      <c r="C5" s="7" t="s">
        <v>41</v>
      </c>
      <c r="D5" s="8" t="s">
        <v>67</v>
      </c>
    </row>
    <row r="6" spans="1:4">
      <c r="A6" s="5">
        <v>50</v>
      </c>
      <c r="B6" s="6">
        <v>46083</v>
      </c>
      <c r="C6" s="7" t="s">
        <v>42</v>
      </c>
      <c r="D6" s="8" t="s">
        <v>67</v>
      </c>
    </row>
    <row r="7" spans="1:4">
      <c r="A7" s="5">
        <v>-150</v>
      </c>
      <c r="B7" s="6">
        <v>46085</v>
      </c>
      <c r="C7" s="7" t="s">
        <v>40</v>
      </c>
      <c r="D7" s="8" t="s">
        <v>40</v>
      </c>
    </row>
    <row r="8" spans="1:4">
      <c r="A8" s="5">
        <v>300</v>
      </c>
      <c r="B8" s="6">
        <v>46086</v>
      </c>
      <c r="C8" s="7" t="s">
        <v>43</v>
      </c>
      <c r="D8" s="8" t="s">
        <v>67</v>
      </c>
    </row>
    <row r="9" spans="1:4">
      <c r="A9" s="5">
        <v>5444.8</v>
      </c>
      <c r="B9" s="6">
        <v>46086</v>
      </c>
      <c r="C9" s="7" t="s">
        <v>44</v>
      </c>
      <c r="D9" s="8" t="s">
        <v>67</v>
      </c>
    </row>
    <row r="10" spans="1:4">
      <c r="A10" s="5">
        <v>19.899999999999999</v>
      </c>
      <c r="B10" s="6">
        <v>46086</v>
      </c>
      <c r="C10" s="7" t="s">
        <v>45</v>
      </c>
      <c r="D10" s="8" t="s">
        <v>67</v>
      </c>
    </row>
    <row r="11" spans="1:4">
      <c r="A11" s="5">
        <v>600</v>
      </c>
      <c r="B11" s="6">
        <v>46087</v>
      </c>
      <c r="C11" s="7" t="s">
        <v>46</v>
      </c>
      <c r="D11" s="8" t="s">
        <v>67</v>
      </c>
    </row>
    <row r="12" spans="1:4">
      <c r="A12" s="5">
        <v>-263.89999999999998</v>
      </c>
      <c r="B12" s="6">
        <v>46089</v>
      </c>
      <c r="C12" s="7" t="s">
        <v>40</v>
      </c>
      <c r="D12" s="8" t="s">
        <v>40</v>
      </c>
    </row>
    <row r="13" spans="1:4">
      <c r="A13" s="5">
        <v>100</v>
      </c>
      <c r="B13" s="6">
        <v>46089</v>
      </c>
      <c r="C13" s="7" t="s">
        <v>47</v>
      </c>
      <c r="D13" s="8" t="s">
        <v>67</v>
      </c>
    </row>
    <row r="14" spans="1:4">
      <c r="A14" s="5">
        <v>300</v>
      </c>
      <c r="B14" s="6">
        <v>46089</v>
      </c>
      <c r="C14" s="7" t="s">
        <v>48</v>
      </c>
      <c r="D14" s="8" t="s">
        <v>40</v>
      </c>
    </row>
    <row r="15" spans="1:4">
      <c r="A15" s="5">
        <v>-250</v>
      </c>
      <c r="B15" s="6">
        <v>46090</v>
      </c>
      <c r="C15" s="7" t="s">
        <v>48</v>
      </c>
      <c r="D15" s="8" t="s">
        <v>40</v>
      </c>
    </row>
    <row r="16" spans="1:4">
      <c r="A16" s="5">
        <v>-283.27999999999997</v>
      </c>
      <c r="B16" s="6">
        <v>46090</v>
      </c>
      <c r="C16" s="7" t="s">
        <v>49</v>
      </c>
      <c r="D16" s="8" t="s">
        <v>7</v>
      </c>
    </row>
    <row r="17" spans="1:4">
      <c r="A17" s="5">
        <v>-202.5</v>
      </c>
      <c r="B17" s="6">
        <v>46091</v>
      </c>
      <c r="C17" s="7" t="s">
        <v>50</v>
      </c>
      <c r="D17" s="8" t="s">
        <v>7</v>
      </c>
    </row>
    <row r="18" spans="1:4">
      <c r="A18" s="5">
        <v>-100</v>
      </c>
      <c r="B18" s="6">
        <v>46091</v>
      </c>
      <c r="C18" s="7" t="s">
        <v>51</v>
      </c>
      <c r="D18" s="8" t="s">
        <v>9</v>
      </c>
    </row>
    <row r="19" spans="1:4">
      <c r="A19" s="5">
        <v>100</v>
      </c>
      <c r="B19" s="6">
        <v>46091</v>
      </c>
      <c r="C19" s="7" t="s">
        <v>48</v>
      </c>
      <c r="D19" s="8" t="s">
        <v>40</v>
      </c>
    </row>
    <row r="20" spans="1:4">
      <c r="A20" s="5">
        <v>-2396.36</v>
      </c>
      <c r="B20" s="6">
        <v>46091</v>
      </c>
      <c r="C20" s="7" t="s">
        <v>52</v>
      </c>
      <c r="D20" s="9"/>
    </row>
    <row r="21" spans="1:4">
      <c r="A21" s="5">
        <v>-495</v>
      </c>
      <c r="B21" s="6">
        <v>46091</v>
      </c>
      <c r="C21" s="7" t="s">
        <v>53</v>
      </c>
      <c r="D21" s="8" t="s">
        <v>7</v>
      </c>
    </row>
    <row r="22" spans="1:4">
      <c r="A22" s="5">
        <v>306</v>
      </c>
      <c r="B22" s="6">
        <v>46092</v>
      </c>
      <c r="C22" s="7" t="s">
        <v>48</v>
      </c>
      <c r="D22" s="8" t="s">
        <v>40</v>
      </c>
    </row>
    <row r="23" spans="1:4">
      <c r="A23" s="9"/>
      <c r="B23" s="6">
        <v>46092</v>
      </c>
      <c r="C23" s="7" t="s">
        <v>54</v>
      </c>
      <c r="D23" s="9"/>
    </row>
    <row r="24" spans="1:4">
      <c r="A24" s="5">
        <v>26.97</v>
      </c>
      <c r="B24" s="6">
        <v>46093</v>
      </c>
      <c r="C24" s="7" t="s">
        <v>55</v>
      </c>
      <c r="D24" s="8" t="s">
        <v>67</v>
      </c>
    </row>
    <row r="25" spans="1:4">
      <c r="A25" s="5">
        <v>-36.72</v>
      </c>
      <c r="B25" s="6">
        <v>46095</v>
      </c>
      <c r="C25" s="7" t="s">
        <v>56</v>
      </c>
      <c r="D25" s="8" t="s">
        <v>11</v>
      </c>
    </row>
    <row r="26" spans="1:4">
      <c r="A26" s="5">
        <v>106</v>
      </c>
      <c r="B26" s="6">
        <v>46096</v>
      </c>
      <c r="C26" s="7" t="s">
        <v>48</v>
      </c>
      <c r="D26" s="8" t="s">
        <v>40</v>
      </c>
    </row>
    <row r="27" spans="1:4">
      <c r="A27" s="5">
        <v>-3000</v>
      </c>
      <c r="B27" s="6">
        <v>46096</v>
      </c>
      <c r="C27" s="7" t="s">
        <v>57</v>
      </c>
      <c r="D27" s="8" t="s">
        <v>68</v>
      </c>
    </row>
    <row r="28" spans="1:4">
      <c r="A28" s="5">
        <v>1350</v>
      </c>
      <c r="B28" s="6">
        <v>46100</v>
      </c>
      <c r="C28" s="7" t="s">
        <v>58</v>
      </c>
      <c r="D28" s="8" t="s">
        <v>67</v>
      </c>
    </row>
    <row r="29" spans="1:4">
      <c r="A29" s="5">
        <v>-4000</v>
      </c>
      <c r="B29" s="6">
        <v>46101</v>
      </c>
      <c r="C29" s="7" t="s">
        <v>59</v>
      </c>
      <c r="D29" s="8" t="s">
        <v>68</v>
      </c>
    </row>
    <row r="30" spans="1:4">
      <c r="A30" s="5">
        <v>200</v>
      </c>
      <c r="B30" s="6">
        <v>46103</v>
      </c>
      <c r="C30" s="7" t="s">
        <v>60</v>
      </c>
      <c r="D30" s="8" t="s">
        <v>40</v>
      </c>
    </row>
    <row r="31" spans="1:4">
      <c r="A31" s="5">
        <v>-176.05</v>
      </c>
      <c r="B31" s="6">
        <v>46106</v>
      </c>
      <c r="C31" s="7" t="s">
        <v>48</v>
      </c>
      <c r="D31" s="8" t="s">
        <v>40</v>
      </c>
    </row>
    <row r="32" spans="1:4">
      <c r="A32" s="5">
        <v>-500</v>
      </c>
      <c r="B32" s="6">
        <v>46107</v>
      </c>
      <c r="C32" s="7" t="s">
        <v>61</v>
      </c>
      <c r="D32" s="8" t="s">
        <v>40</v>
      </c>
    </row>
    <row r="33" spans="1:4">
      <c r="A33" s="5">
        <v>961.59</v>
      </c>
      <c r="B33" s="6">
        <v>46107</v>
      </c>
      <c r="C33" s="7" t="s">
        <v>48</v>
      </c>
      <c r="D33" s="8" t="s">
        <v>40</v>
      </c>
    </row>
    <row r="34" spans="1:4">
      <c r="A34" s="5">
        <v>22</v>
      </c>
      <c r="B34" s="6">
        <v>46108</v>
      </c>
      <c r="C34" s="7" t="s">
        <v>62</v>
      </c>
      <c r="D34" s="8" t="s">
        <v>67</v>
      </c>
    </row>
    <row r="35" spans="1:4">
      <c r="A35" s="5">
        <v>-155</v>
      </c>
      <c r="B35" s="6">
        <v>46109</v>
      </c>
      <c r="C35" s="7" t="s">
        <v>63</v>
      </c>
      <c r="D35" s="8" t="s">
        <v>7</v>
      </c>
    </row>
    <row r="36" spans="1:4">
      <c r="A36" s="5">
        <v>-100</v>
      </c>
      <c r="B36" s="6">
        <v>46110</v>
      </c>
      <c r="C36" s="7" t="s">
        <v>64</v>
      </c>
      <c r="D36" s="8" t="s">
        <v>40</v>
      </c>
    </row>
    <row r="37" spans="1:4">
      <c r="A37" s="5">
        <v>975</v>
      </c>
      <c r="B37" s="6">
        <v>46112</v>
      </c>
      <c r="C37" s="7" t="s">
        <v>65</v>
      </c>
      <c r="D37" s="8" t="s">
        <v>69</v>
      </c>
    </row>
    <row r="38" spans="1:4">
      <c r="A38" s="2"/>
      <c r="B38" s="3"/>
      <c r="C38" s="4"/>
      <c r="D38" s="3"/>
    </row>
    <row r="39" spans="1:4">
      <c r="A39" s="2"/>
      <c r="B39" s="3"/>
      <c r="C39" s="4"/>
      <c r="D39" s="3"/>
    </row>
    <row r="40" spans="1:4">
      <c r="A40" s="2"/>
      <c r="B40" s="3"/>
      <c r="C40" s="4"/>
      <c r="D40" s="3"/>
    </row>
    <row r="41" spans="1:4">
      <c r="A41" s="2"/>
      <c r="B41" s="3"/>
      <c r="C41" s="4"/>
      <c r="D41" s="3"/>
    </row>
    <row r="42" spans="1:4">
      <c r="A42" s="2"/>
      <c r="B42" s="3"/>
      <c r="C42" s="4"/>
      <c r="D42" s="3"/>
    </row>
    <row r="43" spans="1:4">
      <c r="A43" s="2"/>
      <c r="B43" s="3"/>
      <c r="C43" s="4"/>
      <c r="D43" s="3"/>
    </row>
    <row r="44" spans="1:4">
      <c r="A44" s="2"/>
      <c r="B44" s="3"/>
      <c r="C44" s="4"/>
      <c r="D44" s="3"/>
    </row>
    <row r="45" spans="1:4">
      <c r="A45" s="2"/>
      <c r="B45" s="3"/>
      <c r="C45" s="4"/>
      <c r="D45" s="3"/>
    </row>
    <row r="46" spans="1:4">
      <c r="A46" s="2"/>
      <c r="B46" s="3"/>
      <c r="C46" s="4"/>
      <c r="D46" s="3"/>
    </row>
    <row r="47" spans="1:4">
      <c r="A47" s="2"/>
      <c r="B47" s="3"/>
      <c r="C47" s="4"/>
      <c r="D47" s="3"/>
    </row>
    <row r="48" spans="1:4">
      <c r="A48" s="2"/>
      <c r="B48" s="3"/>
      <c r="C48" s="4"/>
      <c r="D48" s="3"/>
    </row>
    <row r="49" spans="1:4">
      <c r="A49" s="2"/>
      <c r="B49" s="3"/>
      <c r="C49" s="4"/>
      <c r="D49" s="3"/>
    </row>
    <row r="50" spans="1:4">
      <c r="A50" s="2"/>
      <c r="B50" s="3"/>
      <c r="C50" s="4"/>
      <c r="D50" s="3"/>
    </row>
    <row r="51" spans="1:4">
      <c r="A51" s="2"/>
      <c r="B51" s="3"/>
      <c r="C51" s="4"/>
      <c r="D51" s="3"/>
    </row>
  </sheetData>
  <dataValidations count="1">
    <dataValidation type="list" errorTitle="Tipo Inválido" error="Digite &quot;entrada&quot; ou &quot;saída&quot;" sqref="D38:D51" xr:uid="{00000000-0002-0000-0100-000000000000}">
      <formula1>"entrada,saída"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1"/>
  <sheetViews>
    <sheetView workbookViewId="0">
      <pane ySplit="1" topLeftCell="A2" activePane="bottomLeft" state="frozen"/>
      <selection pane="bottomLeft" activeCell="B29" sqref="B29"/>
    </sheetView>
  </sheetViews>
  <sheetFormatPr baseColWidth="10" defaultColWidth="8.83203125" defaultRowHeight="15"/>
  <cols>
    <col min="1" max="2" width="14" customWidth="1"/>
    <col min="3" max="3" width="40" customWidth="1"/>
    <col min="4" max="4" width="12" customWidth="1"/>
  </cols>
  <sheetData>
    <row r="1" spans="1:4" ht="25" customHeight="1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s="2">
        <v>-204.5</v>
      </c>
      <c r="B2" s="10">
        <v>46114</v>
      </c>
      <c r="C2" s="4" t="s">
        <v>140</v>
      </c>
      <c r="D2" s="3" t="s">
        <v>4</v>
      </c>
    </row>
    <row r="3" spans="1:4">
      <c r="A3" s="2">
        <v>-49.99</v>
      </c>
      <c r="B3" s="10">
        <v>46114</v>
      </c>
      <c r="C3" s="4" t="s">
        <v>70</v>
      </c>
      <c r="D3" s="3" t="s">
        <v>71</v>
      </c>
    </row>
    <row r="4" spans="1:4">
      <c r="A4" s="2">
        <v>-75</v>
      </c>
      <c r="B4" s="10">
        <v>46116</v>
      </c>
      <c r="C4" s="4" t="s">
        <v>72</v>
      </c>
      <c r="D4" s="3" t="s">
        <v>9</v>
      </c>
    </row>
    <row r="5" spans="1:4">
      <c r="A5" s="2">
        <v>-151.97</v>
      </c>
      <c r="B5" s="10">
        <v>46116</v>
      </c>
      <c r="C5" s="4" t="s">
        <v>73</v>
      </c>
      <c r="D5" s="3" t="s">
        <v>74</v>
      </c>
    </row>
    <row r="6" spans="1:4">
      <c r="A6" s="2">
        <v>-470</v>
      </c>
      <c r="B6" s="10">
        <v>46118</v>
      </c>
      <c r="C6" s="4" t="s">
        <v>75</v>
      </c>
      <c r="D6" s="3" t="s">
        <v>74</v>
      </c>
    </row>
    <row r="7" spans="1:4">
      <c r="A7" s="2">
        <v>-45</v>
      </c>
      <c r="B7" s="10">
        <v>46118</v>
      </c>
      <c r="C7" s="4" t="s">
        <v>70</v>
      </c>
      <c r="D7" s="3" t="s">
        <v>71</v>
      </c>
    </row>
    <row r="8" spans="1:4">
      <c r="A8" s="2">
        <v>-145</v>
      </c>
      <c r="B8" s="10">
        <v>46122</v>
      </c>
      <c r="C8" s="4" t="s">
        <v>76</v>
      </c>
      <c r="D8" s="3" t="s">
        <v>9</v>
      </c>
    </row>
    <row r="9" spans="1:4">
      <c r="A9" s="2">
        <v>-13.9</v>
      </c>
      <c r="B9" s="10">
        <v>46123</v>
      </c>
      <c r="C9" s="4" t="s">
        <v>77</v>
      </c>
      <c r="D9" s="3" t="s">
        <v>71</v>
      </c>
    </row>
    <row r="10" spans="1:4">
      <c r="A10" s="2">
        <v>-121.15</v>
      </c>
      <c r="B10" s="10">
        <v>46124</v>
      </c>
      <c r="C10" s="4" t="s">
        <v>78</v>
      </c>
      <c r="D10" s="3" t="s">
        <v>9</v>
      </c>
    </row>
    <row r="11" spans="1:4">
      <c r="A11" s="2">
        <v>-22</v>
      </c>
      <c r="B11" s="10">
        <v>46124</v>
      </c>
      <c r="C11" s="4" t="s">
        <v>79</v>
      </c>
      <c r="D11" s="3" t="s">
        <v>7</v>
      </c>
    </row>
    <row r="12" spans="1:4">
      <c r="A12" s="2">
        <v>-19.940000000000001</v>
      </c>
      <c r="B12" s="10">
        <v>46125</v>
      </c>
      <c r="C12" s="4" t="s">
        <v>80</v>
      </c>
      <c r="D12" s="3" t="s">
        <v>7</v>
      </c>
    </row>
    <row r="13" spans="1:4">
      <c r="A13" s="2">
        <v>-198.03</v>
      </c>
      <c r="B13" s="10">
        <v>46127</v>
      </c>
      <c r="C13" s="4" t="s">
        <v>81</v>
      </c>
      <c r="D13" s="3" t="s">
        <v>9</v>
      </c>
    </row>
    <row r="14" spans="1:4">
      <c r="A14" s="2">
        <v>-50.88</v>
      </c>
      <c r="B14" s="10">
        <v>46128</v>
      </c>
      <c r="C14" s="4" t="s">
        <v>82</v>
      </c>
      <c r="D14" s="3" t="s">
        <v>74</v>
      </c>
    </row>
    <row r="15" spans="1:4">
      <c r="A15" s="2">
        <v>-105.9</v>
      </c>
      <c r="B15" s="10">
        <v>46128</v>
      </c>
      <c r="C15" s="4" t="s">
        <v>83</v>
      </c>
      <c r="D15" s="3" t="s">
        <v>11</v>
      </c>
    </row>
    <row r="16" spans="1:4">
      <c r="A16" s="2">
        <v>-54.6</v>
      </c>
      <c r="B16" s="10">
        <v>46129</v>
      </c>
      <c r="C16" s="4" t="s">
        <v>84</v>
      </c>
      <c r="D16" s="3" t="s">
        <v>13</v>
      </c>
    </row>
    <row r="17" spans="1:4">
      <c r="A17" s="2">
        <v>-475</v>
      </c>
      <c r="B17" s="10">
        <v>46131</v>
      </c>
      <c r="C17" s="4" t="s">
        <v>85</v>
      </c>
      <c r="D17" s="3" t="s">
        <v>11</v>
      </c>
    </row>
    <row r="18" spans="1:4">
      <c r="A18" s="2">
        <v>-27.4</v>
      </c>
      <c r="B18" s="10">
        <v>46131</v>
      </c>
      <c r="C18" s="4" t="s">
        <v>86</v>
      </c>
      <c r="D18" s="3" t="s">
        <v>13</v>
      </c>
    </row>
    <row r="19" spans="1:4">
      <c r="A19" s="2">
        <v>-19.36</v>
      </c>
      <c r="B19" s="10">
        <v>46131</v>
      </c>
      <c r="C19" s="4" t="s">
        <v>87</v>
      </c>
      <c r="D19" s="3" t="s">
        <v>7</v>
      </c>
    </row>
    <row r="20" spans="1:4">
      <c r="A20" s="2">
        <v>-71.400000000000006</v>
      </c>
      <c r="B20" s="10">
        <v>46132</v>
      </c>
      <c r="C20" s="4" t="s">
        <v>88</v>
      </c>
      <c r="D20" s="3" t="s">
        <v>9</v>
      </c>
    </row>
    <row r="21" spans="1:4">
      <c r="A21" s="2">
        <v>-13.99</v>
      </c>
      <c r="B21" s="10">
        <v>46133</v>
      </c>
      <c r="C21" s="4" t="s">
        <v>89</v>
      </c>
      <c r="D21" s="3" t="s">
        <v>11</v>
      </c>
    </row>
    <row r="22" spans="1:4">
      <c r="A22" s="2">
        <v>-247.83</v>
      </c>
      <c r="B22" s="10">
        <v>46136</v>
      </c>
      <c r="C22" s="4" t="s">
        <v>90</v>
      </c>
      <c r="D22" s="3" t="s">
        <v>7</v>
      </c>
    </row>
    <row r="23" spans="1:4">
      <c r="A23" s="2">
        <v>-80.42</v>
      </c>
      <c r="B23" s="10">
        <v>46137</v>
      </c>
      <c r="C23" s="4" t="s">
        <v>91</v>
      </c>
      <c r="D23" s="3" t="s">
        <v>9</v>
      </c>
    </row>
    <row r="24" spans="1:4">
      <c r="A24" s="2">
        <v>-33.700000000000003</v>
      </c>
      <c r="B24" s="10">
        <v>46137</v>
      </c>
      <c r="C24" s="4" t="s">
        <v>92</v>
      </c>
      <c r="D24" s="3" t="s">
        <v>9</v>
      </c>
    </row>
    <row r="25" spans="1:4">
      <c r="A25" s="2">
        <v>-89.9</v>
      </c>
      <c r="B25" s="10">
        <v>46138</v>
      </c>
      <c r="C25" s="4" t="s">
        <v>93</v>
      </c>
      <c r="D25" s="3" t="s">
        <v>32</v>
      </c>
    </row>
    <row r="26" spans="1:4">
      <c r="A26" s="2">
        <v>-47.98</v>
      </c>
      <c r="B26" s="10">
        <v>46138</v>
      </c>
      <c r="C26" s="4" t="s">
        <v>94</v>
      </c>
      <c r="D26" s="3" t="s">
        <v>11</v>
      </c>
    </row>
    <row r="27" spans="1:4">
      <c r="A27" s="2">
        <v>-75</v>
      </c>
      <c r="B27" s="10">
        <v>46124</v>
      </c>
      <c r="C27" s="4" t="s">
        <v>95</v>
      </c>
      <c r="D27" s="3" t="s">
        <v>7</v>
      </c>
    </row>
    <row r="28" spans="1:4">
      <c r="A28" s="2">
        <v>-329.03</v>
      </c>
      <c r="B28" s="10">
        <v>46114</v>
      </c>
      <c r="C28" s="4" t="s">
        <v>141</v>
      </c>
      <c r="D28" s="3" t="s">
        <v>96</v>
      </c>
    </row>
    <row r="29" spans="1:4">
      <c r="A29" s="2">
        <v>-110</v>
      </c>
      <c r="B29" s="10">
        <v>46134</v>
      </c>
      <c r="C29" s="4" t="s">
        <v>97</v>
      </c>
      <c r="D29" s="3" t="s">
        <v>7</v>
      </c>
    </row>
    <row r="30" spans="1:4">
      <c r="A30" s="2">
        <v>-131</v>
      </c>
      <c r="B30" s="10">
        <v>46129</v>
      </c>
      <c r="C30" s="4" t="s">
        <v>98</v>
      </c>
      <c r="D30" s="3" t="s">
        <v>9</v>
      </c>
    </row>
    <row r="31" spans="1:4">
      <c r="A31" s="2">
        <v>-34.5</v>
      </c>
      <c r="B31" s="10">
        <v>46136</v>
      </c>
      <c r="C31" s="4" t="s">
        <v>99</v>
      </c>
      <c r="D31" s="3" t="s">
        <v>11</v>
      </c>
    </row>
    <row r="32" spans="1:4">
      <c r="A32" s="2"/>
      <c r="B32" s="3"/>
      <c r="C32" s="4"/>
      <c r="D32" s="3"/>
    </row>
    <row r="33" spans="1:4">
      <c r="A33" s="2"/>
      <c r="B33" s="3"/>
      <c r="C33" s="4"/>
      <c r="D33" s="3"/>
    </row>
    <row r="34" spans="1:4">
      <c r="A34" s="2"/>
      <c r="B34" s="3"/>
      <c r="C34" s="4"/>
      <c r="D34" s="3"/>
    </row>
    <row r="35" spans="1:4">
      <c r="A35" s="2"/>
      <c r="B35" s="3"/>
      <c r="C35" s="4"/>
      <c r="D35" s="3"/>
    </row>
    <row r="36" spans="1:4">
      <c r="A36" s="2"/>
      <c r="B36" s="3"/>
      <c r="C36" s="4"/>
      <c r="D36" s="3"/>
    </row>
    <row r="37" spans="1:4">
      <c r="A37" s="2"/>
      <c r="B37" s="3"/>
      <c r="C37" s="4"/>
      <c r="D37" s="3"/>
    </row>
    <row r="38" spans="1:4">
      <c r="A38" s="2"/>
      <c r="B38" s="3"/>
      <c r="C38" s="4"/>
      <c r="D38" s="3"/>
    </row>
    <row r="39" spans="1:4">
      <c r="A39" s="2"/>
      <c r="B39" s="3"/>
      <c r="C39" s="4"/>
      <c r="D39" s="3"/>
    </row>
    <row r="40" spans="1:4">
      <c r="A40" s="2"/>
      <c r="B40" s="3"/>
      <c r="C40" s="4"/>
      <c r="D40" s="3"/>
    </row>
    <row r="41" spans="1:4">
      <c r="A41" s="2"/>
      <c r="B41" s="3"/>
      <c r="C41" s="4"/>
      <c r="D41" s="3"/>
    </row>
    <row r="42" spans="1:4">
      <c r="A42" s="2"/>
      <c r="B42" s="3"/>
      <c r="C42" s="4"/>
      <c r="D42" s="3"/>
    </row>
    <row r="43" spans="1:4">
      <c r="A43" s="2"/>
      <c r="B43" s="3"/>
      <c r="C43" s="4"/>
      <c r="D43" s="3"/>
    </row>
    <row r="44" spans="1:4">
      <c r="A44" s="2"/>
      <c r="B44" s="3"/>
      <c r="C44" s="4"/>
      <c r="D44" s="3"/>
    </row>
    <row r="45" spans="1:4">
      <c r="A45" s="2"/>
      <c r="B45" s="3"/>
      <c r="C45" s="4"/>
      <c r="D45" s="3"/>
    </row>
    <row r="46" spans="1:4">
      <c r="A46" s="2"/>
      <c r="B46" s="3"/>
      <c r="C46" s="4"/>
      <c r="D46" s="3"/>
    </row>
    <row r="47" spans="1:4">
      <c r="A47" s="2"/>
      <c r="B47" s="3"/>
      <c r="C47" s="4"/>
      <c r="D47" s="3"/>
    </row>
    <row r="48" spans="1:4">
      <c r="A48" s="2"/>
      <c r="B48" s="3"/>
      <c r="C48" s="4"/>
      <c r="D48" s="3"/>
    </row>
    <row r="49" spans="1:4">
      <c r="A49" s="2"/>
      <c r="B49" s="3"/>
      <c r="C49" s="4"/>
      <c r="D49" s="3"/>
    </row>
    <row r="50" spans="1:4">
      <c r="A50" s="2"/>
      <c r="B50" s="3"/>
      <c r="C50" s="4"/>
      <c r="D50" s="3"/>
    </row>
    <row r="51" spans="1:4">
      <c r="A51" s="2"/>
      <c r="B51" s="3"/>
      <c r="C51" s="4"/>
      <c r="D51" s="3"/>
    </row>
  </sheetData>
  <dataValidations count="1">
    <dataValidation type="list" errorTitle="Tipo Inválido" error="Digite &quot;entrada&quot; ou &quot;saída&quot;" sqref="D2:D51" xr:uid="{00000000-0002-0000-0200-000000000000}">
      <formula1>"entrada,saída"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2"/>
  <sheetViews>
    <sheetView workbookViewId="0">
      <pane ySplit="1" topLeftCell="A2" activePane="bottomLeft" state="frozen"/>
      <selection pane="bottomLeft" activeCell="A2" activeCellId="1" sqref="A3:A41 A2"/>
    </sheetView>
  </sheetViews>
  <sheetFormatPr baseColWidth="10" defaultColWidth="8.83203125" defaultRowHeight="15"/>
  <cols>
    <col min="1" max="2" width="14" customWidth="1"/>
    <col min="3" max="3" width="40" customWidth="1"/>
    <col min="4" max="4" width="12" customWidth="1"/>
  </cols>
  <sheetData>
    <row r="1" spans="1:4" ht="25" customHeight="1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s="2">
        <v>2130</v>
      </c>
      <c r="B2" s="10">
        <v>46113</v>
      </c>
      <c r="C2" t="s">
        <v>139</v>
      </c>
    </row>
    <row r="3" spans="1:4">
      <c r="A3" s="2">
        <v>-679.19</v>
      </c>
      <c r="B3" s="10">
        <v>46113</v>
      </c>
      <c r="C3" s="4" t="s">
        <v>100</v>
      </c>
      <c r="D3" s="3" t="s">
        <v>32</v>
      </c>
    </row>
    <row r="4" spans="1:4">
      <c r="A4" s="2">
        <v>100</v>
      </c>
      <c r="B4" s="10">
        <v>46113</v>
      </c>
      <c r="C4" s="4" t="s">
        <v>101</v>
      </c>
      <c r="D4" s="3" t="s">
        <v>67</v>
      </c>
    </row>
    <row r="5" spans="1:4">
      <c r="A5" s="2">
        <v>-215</v>
      </c>
      <c r="B5" s="10">
        <v>46114</v>
      </c>
      <c r="C5" s="4" t="s">
        <v>102</v>
      </c>
      <c r="D5" s="3" t="s">
        <v>9</v>
      </c>
    </row>
    <row r="6" spans="1:4">
      <c r="A6" s="2">
        <v>3000</v>
      </c>
      <c r="B6" s="10">
        <v>46114</v>
      </c>
      <c r="C6" s="4" t="s">
        <v>103</v>
      </c>
      <c r="D6" s="3" t="s">
        <v>69</v>
      </c>
    </row>
    <row r="7" spans="1:4">
      <c r="A7" s="2">
        <v>-2500</v>
      </c>
      <c r="B7" s="10">
        <v>46114</v>
      </c>
      <c r="C7" s="4" t="s">
        <v>104</v>
      </c>
      <c r="D7" s="3" t="s">
        <v>7</v>
      </c>
    </row>
    <row r="8" spans="1:4">
      <c r="A8" s="2">
        <v>-50</v>
      </c>
      <c r="B8" s="10">
        <v>46115</v>
      </c>
      <c r="C8" s="4" t="s">
        <v>48</v>
      </c>
      <c r="D8" s="3" t="s">
        <v>40</v>
      </c>
    </row>
    <row r="9" spans="1:4">
      <c r="A9" s="2">
        <v>-80</v>
      </c>
      <c r="B9" s="10">
        <v>46115</v>
      </c>
      <c r="C9" s="4" t="s">
        <v>105</v>
      </c>
      <c r="D9" s="3" t="s">
        <v>11</v>
      </c>
    </row>
    <row r="10" spans="1:4">
      <c r="A10" s="2">
        <v>-380</v>
      </c>
      <c r="B10" s="10">
        <v>46117</v>
      </c>
      <c r="C10" s="4" t="s">
        <v>48</v>
      </c>
      <c r="D10" s="3" t="s">
        <v>40</v>
      </c>
    </row>
    <row r="11" spans="1:4">
      <c r="A11" s="2">
        <v>5444.8</v>
      </c>
      <c r="B11" s="10">
        <v>46118</v>
      </c>
      <c r="C11" s="4" t="s">
        <v>106</v>
      </c>
      <c r="D11" s="3" t="s">
        <v>67</v>
      </c>
    </row>
    <row r="12" spans="1:4">
      <c r="A12" s="2">
        <v>-98</v>
      </c>
      <c r="B12" s="10">
        <v>46118</v>
      </c>
      <c r="C12" s="4" t="s">
        <v>107</v>
      </c>
      <c r="D12" s="3" t="s">
        <v>74</v>
      </c>
    </row>
    <row r="13" spans="1:4">
      <c r="A13" s="2">
        <v>400</v>
      </c>
      <c r="B13" s="10">
        <v>46119</v>
      </c>
      <c r="C13" s="4" t="s">
        <v>48</v>
      </c>
      <c r="D13" s="3" t="s">
        <v>40</v>
      </c>
    </row>
    <row r="14" spans="1:4">
      <c r="A14" s="2">
        <v>-915.23</v>
      </c>
      <c r="B14" s="10">
        <v>46121</v>
      </c>
      <c r="C14" s="4" t="s">
        <v>48</v>
      </c>
      <c r="D14" s="3" t="s">
        <v>40</v>
      </c>
    </row>
    <row r="15" spans="1:4">
      <c r="A15" s="2">
        <v>-2780.86</v>
      </c>
      <c r="B15" s="10">
        <v>46122</v>
      </c>
      <c r="C15" s="4" t="s">
        <v>108</v>
      </c>
      <c r="D15" s="3"/>
    </row>
    <row r="16" spans="1:4">
      <c r="A16" s="2">
        <v>-3300</v>
      </c>
      <c r="B16" s="10">
        <v>46122</v>
      </c>
      <c r="C16" s="4" t="s">
        <v>109</v>
      </c>
      <c r="D16" s="3" t="s">
        <v>68</v>
      </c>
    </row>
    <row r="17" spans="1:4">
      <c r="A17" s="2">
        <v>200</v>
      </c>
      <c r="B17" s="10">
        <v>46122</v>
      </c>
      <c r="C17" s="4" t="s">
        <v>40</v>
      </c>
      <c r="D17" s="3" t="s">
        <v>40</v>
      </c>
    </row>
    <row r="18" spans="1:4">
      <c r="A18" s="2">
        <v>190</v>
      </c>
      <c r="B18" s="10">
        <v>46122</v>
      </c>
      <c r="C18" s="4" t="s">
        <v>110</v>
      </c>
      <c r="D18" s="3" t="s">
        <v>67</v>
      </c>
    </row>
    <row r="19" spans="1:4">
      <c r="A19" s="2">
        <v>-100</v>
      </c>
      <c r="B19" s="10">
        <v>46123</v>
      </c>
      <c r="C19" s="4" t="s">
        <v>40</v>
      </c>
      <c r="D19" s="3" t="s">
        <v>40</v>
      </c>
    </row>
    <row r="20" spans="1:4">
      <c r="A20" s="2">
        <v>-20</v>
      </c>
      <c r="B20" s="10">
        <v>46124</v>
      </c>
      <c r="C20" s="4" t="s">
        <v>17</v>
      </c>
      <c r="D20" s="3" t="s">
        <v>18</v>
      </c>
    </row>
    <row r="21" spans="1:4">
      <c r="A21" s="2">
        <v>78.34</v>
      </c>
      <c r="B21" s="10">
        <v>46125</v>
      </c>
      <c r="C21" s="4" t="s">
        <v>111</v>
      </c>
      <c r="D21" s="3" t="s">
        <v>67</v>
      </c>
    </row>
    <row r="22" spans="1:4">
      <c r="A22" s="2">
        <v>100</v>
      </c>
      <c r="B22" s="10">
        <v>46126</v>
      </c>
      <c r="C22" s="4" t="s">
        <v>40</v>
      </c>
      <c r="D22" s="3" t="s">
        <v>40</v>
      </c>
    </row>
    <row r="23" spans="1:4">
      <c r="A23" s="2">
        <v>-400</v>
      </c>
      <c r="B23" s="10">
        <v>46128</v>
      </c>
      <c r="C23" s="4" t="s">
        <v>40</v>
      </c>
      <c r="D23" s="3" t="s">
        <v>40</v>
      </c>
    </row>
    <row r="24" spans="1:4">
      <c r="A24" s="2">
        <v>870</v>
      </c>
      <c r="B24" s="10">
        <v>46131</v>
      </c>
      <c r="C24" s="4" t="s">
        <v>40</v>
      </c>
      <c r="D24" s="3" t="s">
        <v>40</v>
      </c>
    </row>
    <row r="25" spans="1:4">
      <c r="A25" s="2">
        <v>-114.78</v>
      </c>
      <c r="B25" s="10">
        <v>46131</v>
      </c>
      <c r="C25" s="4" t="s">
        <v>112</v>
      </c>
      <c r="D25" s="3" t="s">
        <v>7</v>
      </c>
    </row>
    <row r="26" spans="1:4">
      <c r="A26" s="2">
        <v>100</v>
      </c>
      <c r="B26" s="10">
        <v>46132</v>
      </c>
      <c r="C26" s="4" t="s">
        <v>113</v>
      </c>
      <c r="D26" s="3" t="s">
        <v>67</v>
      </c>
    </row>
    <row r="27" spans="1:4">
      <c r="A27" s="2">
        <v>-495</v>
      </c>
      <c r="B27" s="10">
        <v>46133</v>
      </c>
      <c r="C27" s="4" t="s">
        <v>48</v>
      </c>
      <c r="D27" s="3" t="s">
        <v>40</v>
      </c>
    </row>
    <row r="28" spans="1:4">
      <c r="A28" s="2">
        <v>2798.79</v>
      </c>
      <c r="B28" s="10">
        <v>46134</v>
      </c>
      <c r="C28" s="4" t="s">
        <v>114</v>
      </c>
      <c r="D28" s="3" t="s">
        <v>69</v>
      </c>
    </row>
    <row r="29" spans="1:4">
      <c r="A29" s="2">
        <v>-1000</v>
      </c>
      <c r="B29" s="10">
        <v>46134</v>
      </c>
      <c r="C29" s="4" t="s">
        <v>64</v>
      </c>
      <c r="D29" s="3" t="s">
        <v>40</v>
      </c>
    </row>
    <row r="30" spans="1:4">
      <c r="A30" s="2">
        <v>1100</v>
      </c>
      <c r="B30" s="10">
        <v>46135</v>
      </c>
      <c r="C30" s="4" t="s">
        <v>48</v>
      </c>
      <c r="D30" s="3" t="s">
        <v>40</v>
      </c>
    </row>
    <row r="31" spans="1:4">
      <c r="A31" s="2">
        <v>-3360</v>
      </c>
      <c r="B31" s="10">
        <v>46135</v>
      </c>
      <c r="C31" s="4" t="s">
        <v>115</v>
      </c>
      <c r="D31" s="3" t="s">
        <v>116</v>
      </c>
    </row>
    <row r="32" spans="1:4">
      <c r="A32" s="2">
        <v>-20</v>
      </c>
      <c r="B32" s="10">
        <v>46136</v>
      </c>
      <c r="C32" s="4" t="s">
        <v>117</v>
      </c>
      <c r="D32" s="3" t="s">
        <v>7</v>
      </c>
    </row>
    <row r="33" spans="1:4">
      <c r="A33" s="2">
        <v>1000</v>
      </c>
      <c r="B33" s="10">
        <v>46136</v>
      </c>
      <c r="C33" s="4" t="s">
        <v>118</v>
      </c>
      <c r="D33" s="3" t="s">
        <v>69</v>
      </c>
    </row>
    <row r="34" spans="1:4">
      <c r="A34" s="2">
        <v>152.99</v>
      </c>
      <c r="B34" s="10">
        <v>46137</v>
      </c>
      <c r="C34" s="4" t="s">
        <v>119</v>
      </c>
      <c r="D34" s="3" t="s">
        <v>7</v>
      </c>
    </row>
    <row r="35" spans="1:4">
      <c r="A35" s="2">
        <v>-100</v>
      </c>
      <c r="B35" s="3"/>
      <c r="C35" s="4" t="s">
        <v>48</v>
      </c>
      <c r="D35" s="3" t="s">
        <v>40</v>
      </c>
    </row>
    <row r="36" spans="1:4">
      <c r="A36" s="2">
        <v>150</v>
      </c>
      <c r="B36" s="10">
        <v>46139</v>
      </c>
      <c r="C36" s="4" t="s">
        <v>120</v>
      </c>
      <c r="D36" s="3" t="s">
        <v>67</v>
      </c>
    </row>
    <row r="37" spans="1:4">
      <c r="A37" s="2">
        <v>200</v>
      </c>
      <c r="B37" s="3"/>
      <c r="C37" s="4" t="s">
        <v>121</v>
      </c>
      <c r="D37" s="3" t="s">
        <v>69</v>
      </c>
    </row>
    <row r="38" spans="1:4">
      <c r="A38" s="2">
        <v>3</v>
      </c>
      <c r="B38" s="10">
        <v>46140</v>
      </c>
      <c r="C38" s="4" t="s">
        <v>48</v>
      </c>
      <c r="D38" s="3" t="s">
        <v>40</v>
      </c>
    </row>
    <row r="39" spans="1:4">
      <c r="A39" s="2">
        <v>-50</v>
      </c>
      <c r="B39" s="10">
        <v>46142</v>
      </c>
      <c r="C39" s="4" t="s">
        <v>122</v>
      </c>
      <c r="D39" s="3" t="s">
        <v>11</v>
      </c>
    </row>
    <row r="40" spans="1:4">
      <c r="A40" s="2">
        <v>-679.19</v>
      </c>
      <c r="B40" s="10">
        <v>46142</v>
      </c>
      <c r="C40" s="4" t="s">
        <v>123</v>
      </c>
      <c r="D40" s="3" t="s">
        <v>32</v>
      </c>
    </row>
    <row r="41" spans="1:4">
      <c r="A41" s="2">
        <v>755</v>
      </c>
      <c r="B41" s="10">
        <v>46142</v>
      </c>
      <c r="C41" s="4" t="s">
        <v>48</v>
      </c>
      <c r="D41" s="3" t="s">
        <v>40</v>
      </c>
    </row>
    <row r="42" spans="1:4">
      <c r="A42" s="2"/>
      <c r="B42" s="3"/>
      <c r="C42" s="4"/>
      <c r="D42" s="3"/>
    </row>
    <row r="43" spans="1:4">
      <c r="A43" s="2"/>
      <c r="B43" s="3"/>
      <c r="C43" s="4"/>
      <c r="D43" s="3"/>
    </row>
    <row r="44" spans="1:4">
      <c r="A44" s="2"/>
      <c r="B44" s="3"/>
      <c r="C44" s="4"/>
      <c r="D44" s="3"/>
    </row>
    <row r="45" spans="1:4">
      <c r="A45" s="2"/>
      <c r="B45" s="3"/>
      <c r="C45" s="4"/>
      <c r="D45" s="3"/>
    </row>
    <row r="46" spans="1:4">
      <c r="A46" s="2"/>
      <c r="B46" s="3"/>
      <c r="C46" s="4"/>
      <c r="D46" s="3"/>
    </row>
    <row r="47" spans="1:4">
      <c r="A47" s="2"/>
      <c r="B47" s="3"/>
      <c r="C47" s="4"/>
      <c r="D47" s="3"/>
    </row>
    <row r="48" spans="1:4">
      <c r="A48" s="2"/>
      <c r="B48" s="3"/>
      <c r="C48" s="4"/>
      <c r="D48" s="3"/>
    </row>
    <row r="49" spans="1:4">
      <c r="A49" s="2"/>
      <c r="B49" s="3"/>
      <c r="C49" s="4"/>
      <c r="D49" s="3"/>
    </row>
    <row r="50" spans="1:4">
      <c r="A50" s="2"/>
      <c r="B50" s="3"/>
      <c r="C50" s="4"/>
      <c r="D50" s="3"/>
    </row>
    <row r="51" spans="1:4">
      <c r="A51" s="2"/>
      <c r="B51" s="3"/>
      <c r="C51" s="4"/>
      <c r="D51" s="3"/>
    </row>
    <row r="52" spans="1:4">
      <c r="A52" s="2"/>
      <c r="B52" s="3"/>
      <c r="C52" s="4"/>
      <c r="D52" s="3"/>
    </row>
  </sheetData>
  <dataValidations count="1">
    <dataValidation type="list" errorTitle="Tipo Inválido" error="Digite &quot;entrada&quot; ou &quot;saída&quot;" sqref="D3:D52" xr:uid="{00000000-0002-0000-0300-000000000000}">
      <formula1>"entrada,saída"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1"/>
  <sheetViews>
    <sheetView workbookViewId="0">
      <pane ySplit="1" topLeftCell="A2" activePane="bottomLeft" state="frozen"/>
      <selection pane="bottomLeft" activeCell="A6" sqref="A6:D9"/>
    </sheetView>
  </sheetViews>
  <sheetFormatPr baseColWidth="10" defaultColWidth="8.83203125" defaultRowHeight="15"/>
  <cols>
    <col min="1" max="2" width="14" customWidth="1"/>
    <col min="3" max="3" width="40" customWidth="1"/>
    <col min="4" max="4" width="12" customWidth="1"/>
  </cols>
  <sheetData>
    <row r="1" spans="1:4" ht="25" customHeight="1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s="2">
        <v>-329.03</v>
      </c>
      <c r="B2" s="10" t="s">
        <v>143</v>
      </c>
      <c r="C2" s="4" t="s">
        <v>144</v>
      </c>
      <c r="D2" s="3" t="s">
        <v>96</v>
      </c>
    </row>
    <row r="3" spans="1:4">
      <c r="A3" s="2">
        <v>-204.5</v>
      </c>
      <c r="B3" s="10" t="s">
        <v>138</v>
      </c>
      <c r="C3" s="4" t="s">
        <v>145</v>
      </c>
      <c r="D3" s="3" t="s">
        <v>4</v>
      </c>
    </row>
    <row r="4" spans="1:4">
      <c r="A4" s="2">
        <v>-29.8</v>
      </c>
      <c r="B4" s="10">
        <v>46143</v>
      </c>
      <c r="C4" s="4" t="s">
        <v>142</v>
      </c>
      <c r="D4" s="3" t="s">
        <v>9</v>
      </c>
    </row>
    <row r="5" spans="1:4">
      <c r="A5" s="2">
        <v>-807.37</v>
      </c>
      <c r="B5" s="10">
        <v>46143</v>
      </c>
      <c r="C5" s="4" t="s">
        <v>124</v>
      </c>
      <c r="D5" s="3" t="s">
        <v>125</v>
      </c>
    </row>
    <row r="6" spans="1:4">
      <c r="A6" s="2">
        <v>-10.94</v>
      </c>
      <c r="B6" s="10">
        <v>46147</v>
      </c>
      <c r="C6" s="4" t="s">
        <v>38</v>
      </c>
      <c r="D6" s="3" t="s">
        <v>13</v>
      </c>
    </row>
    <row r="7" spans="1:4">
      <c r="A7" s="2">
        <v>-52.12</v>
      </c>
      <c r="B7" s="10">
        <v>46147</v>
      </c>
      <c r="C7" s="4" t="s">
        <v>126</v>
      </c>
      <c r="D7" s="3" t="s">
        <v>4</v>
      </c>
    </row>
    <row r="8" spans="1:4">
      <c r="A8" s="2">
        <v>-65</v>
      </c>
      <c r="B8" s="10">
        <v>46150</v>
      </c>
      <c r="C8" s="4" t="s">
        <v>127</v>
      </c>
      <c r="D8" s="3" t="s">
        <v>71</v>
      </c>
    </row>
    <row r="9" spans="1:4">
      <c r="A9" s="2">
        <v>-18</v>
      </c>
      <c r="B9" s="10">
        <v>46150</v>
      </c>
      <c r="C9" s="4" t="s">
        <v>128</v>
      </c>
      <c r="D9" s="3" t="s">
        <v>11</v>
      </c>
    </row>
    <row r="10" spans="1:4">
      <c r="A10" s="2"/>
      <c r="B10" s="10"/>
      <c r="C10" s="4"/>
      <c r="D10" s="3"/>
    </row>
    <row r="11" spans="1:4">
      <c r="A11" s="2"/>
      <c r="B11" s="10"/>
      <c r="C11" s="4"/>
      <c r="D11" s="3"/>
    </row>
    <row r="12" spans="1:4">
      <c r="A12" s="2"/>
      <c r="B12" s="10"/>
      <c r="C12" s="4"/>
      <c r="D12" s="3"/>
    </row>
    <row r="13" spans="1:4">
      <c r="A13" s="2"/>
      <c r="B13" s="10"/>
      <c r="C13" s="4"/>
      <c r="D13" s="3"/>
    </row>
    <row r="14" spans="1:4">
      <c r="A14" s="2"/>
      <c r="B14" s="10"/>
      <c r="C14" s="4"/>
      <c r="D14" s="3"/>
    </row>
    <row r="19" spans="1:4">
      <c r="A19" s="2"/>
      <c r="B19" s="3"/>
      <c r="C19" s="4"/>
      <c r="D19" s="3"/>
    </row>
    <row r="20" spans="1:4">
      <c r="A20" s="2"/>
      <c r="B20" s="3"/>
      <c r="C20" s="4"/>
      <c r="D20" s="3"/>
    </row>
    <row r="21" spans="1:4">
      <c r="A21" s="2"/>
      <c r="B21" s="3"/>
      <c r="C21" s="4"/>
      <c r="D21" s="3"/>
    </row>
    <row r="22" spans="1:4">
      <c r="A22" s="2"/>
      <c r="B22" s="3"/>
      <c r="C22" s="4"/>
      <c r="D22" s="3"/>
    </row>
    <row r="23" spans="1:4">
      <c r="A23" s="2"/>
      <c r="B23" s="3"/>
      <c r="C23" s="4"/>
      <c r="D23" s="3"/>
    </row>
    <row r="24" spans="1:4">
      <c r="A24" s="2"/>
      <c r="B24" s="3"/>
      <c r="C24" s="4"/>
      <c r="D24" s="3"/>
    </row>
    <row r="25" spans="1:4">
      <c r="A25" s="2"/>
      <c r="B25" s="3"/>
      <c r="C25" s="4"/>
      <c r="D25" s="3"/>
    </row>
    <row r="26" spans="1:4">
      <c r="A26" s="2"/>
      <c r="B26" s="3"/>
      <c r="C26" s="4"/>
      <c r="D26" s="3"/>
    </row>
    <row r="27" spans="1:4">
      <c r="A27" s="2"/>
      <c r="B27" s="3"/>
      <c r="C27" s="4"/>
      <c r="D27" s="3"/>
    </row>
    <row r="28" spans="1:4">
      <c r="A28" s="2"/>
      <c r="B28" s="3"/>
      <c r="C28" s="4"/>
      <c r="D28" s="3"/>
    </row>
    <row r="29" spans="1:4">
      <c r="A29" s="2"/>
      <c r="B29" s="3"/>
      <c r="C29" s="4"/>
      <c r="D29" s="3"/>
    </row>
    <row r="30" spans="1:4">
      <c r="A30" s="2"/>
      <c r="B30" s="3"/>
      <c r="C30" s="4"/>
      <c r="D30" s="3"/>
    </row>
    <row r="31" spans="1:4">
      <c r="A31" s="2"/>
      <c r="B31" s="3"/>
      <c r="C31" s="4"/>
      <c r="D31" s="3"/>
    </row>
    <row r="32" spans="1:4">
      <c r="A32" s="2"/>
      <c r="B32" s="3"/>
      <c r="C32" s="4"/>
      <c r="D32" s="3"/>
    </row>
    <row r="33" spans="1:4">
      <c r="A33" s="2"/>
      <c r="B33" s="3"/>
      <c r="C33" s="4"/>
      <c r="D33" s="3"/>
    </row>
    <row r="34" spans="1:4">
      <c r="A34" s="2"/>
      <c r="B34" s="3"/>
      <c r="C34" s="4"/>
      <c r="D34" s="3"/>
    </row>
    <row r="35" spans="1:4">
      <c r="A35" s="2"/>
      <c r="B35" s="3"/>
      <c r="C35" s="4"/>
      <c r="D35" s="3"/>
    </row>
    <row r="36" spans="1:4">
      <c r="A36" s="2"/>
      <c r="B36" s="3"/>
      <c r="C36" s="4"/>
      <c r="D36" s="3"/>
    </row>
    <row r="37" spans="1:4">
      <c r="A37" s="2"/>
      <c r="B37" s="3"/>
      <c r="C37" s="4"/>
      <c r="D37" s="3"/>
    </row>
    <row r="38" spans="1:4">
      <c r="A38" s="2"/>
      <c r="B38" s="3"/>
      <c r="C38" s="4"/>
      <c r="D38" s="3"/>
    </row>
    <row r="39" spans="1:4">
      <c r="A39" s="2"/>
      <c r="B39" s="3"/>
      <c r="C39" s="4"/>
      <c r="D39" s="3"/>
    </row>
    <row r="40" spans="1:4">
      <c r="A40" s="2"/>
      <c r="B40" s="3"/>
      <c r="C40" s="4"/>
      <c r="D40" s="3"/>
    </row>
    <row r="41" spans="1:4">
      <c r="A41" s="2"/>
      <c r="B41" s="3"/>
      <c r="C41" s="4"/>
      <c r="D41" s="3"/>
    </row>
    <row r="42" spans="1:4">
      <c r="A42" s="2"/>
      <c r="B42" s="3"/>
      <c r="C42" s="4"/>
      <c r="D42" s="3"/>
    </row>
    <row r="43" spans="1:4">
      <c r="A43" s="2"/>
      <c r="B43" s="3"/>
      <c r="C43" s="4"/>
      <c r="D43" s="3"/>
    </row>
    <row r="44" spans="1:4">
      <c r="A44" s="2"/>
      <c r="B44" s="3"/>
      <c r="C44" s="4"/>
      <c r="D44" s="3"/>
    </row>
    <row r="45" spans="1:4">
      <c r="A45" s="2"/>
      <c r="B45" s="3"/>
      <c r="C45" s="4"/>
      <c r="D45" s="3"/>
    </row>
    <row r="46" spans="1:4">
      <c r="A46" s="2"/>
      <c r="B46" s="3"/>
      <c r="C46" s="4"/>
      <c r="D46" s="3"/>
    </row>
    <row r="47" spans="1:4">
      <c r="A47" s="2"/>
      <c r="B47" s="3"/>
      <c r="C47" s="4"/>
      <c r="D47" s="3"/>
    </row>
    <row r="48" spans="1:4">
      <c r="A48" s="2"/>
      <c r="B48" s="3"/>
      <c r="C48" s="4"/>
      <c r="D48" s="3"/>
    </row>
    <row r="49" spans="1:4">
      <c r="A49" s="2"/>
      <c r="B49" s="3"/>
      <c r="C49" s="4"/>
      <c r="D49" s="3"/>
    </row>
    <row r="50" spans="1:4">
      <c r="A50" s="2"/>
      <c r="B50" s="3"/>
      <c r="C50" s="4"/>
      <c r="D50" s="3"/>
    </row>
    <row r="51" spans="1:4">
      <c r="A51" s="2"/>
      <c r="B51" s="3"/>
      <c r="C51" s="4"/>
      <c r="D51" s="3"/>
    </row>
  </sheetData>
  <dataValidations count="1">
    <dataValidation type="list" errorTitle="Tipo Inválido" error="Digite &quot;entrada&quot; ou &quot;saída&quot;" sqref="D19:D51 D2:D14" xr:uid="{00000000-0002-0000-0400-000000000000}">
      <formula1>"entrada,saída"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2"/>
  <sheetViews>
    <sheetView workbookViewId="0">
      <pane ySplit="1" topLeftCell="A2" activePane="bottomLeft" state="frozen"/>
      <selection pane="bottomLeft" activeCell="C3" sqref="C3"/>
    </sheetView>
  </sheetViews>
  <sheetFormatPr baseColWidth="10" defaultColWidth="8.83203125" defaultRowHeight="15"/>
  <cols>
    <col min="1" max="2" width="14" customWidth="1"/>
    <col min="3" max="3" width="40" customWidth="1"/>
    <col min="4" max="4" width="12" customWidth="1"/>
  </cols>
  <sheetData>
    <row r="1" spans="1:4" ht="25" customHeight="1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s="2">
        <v>1435.67</v>
      </c>
      <c r="B2" s="10">
        <v>46143</v>
      </c>
      <c r="C2" s="4" t="s">
        <v>139</v>
      </c>
      <c r="D2" s="3"/>
    </row>
    <row r="3" spans="1:4">
      <c r="A3" s="2">
        <v>-47.4</v>
      </c>
      <c r="B3" s="10">
        <v>46146</v>
      </c>
      <c r="C3" s="4" t="s">
        <v>129</v>
      </c>
      <c r="D3" s="3" t="s">
        <v>7</v>
      </c>
    </row>
    <row r="4" spans="1:4">
      <c r="A4" s="2">
        <v>5444.8</v>
      </c>
      <c r="B4" s="10">
        <v>46147</v>
      </c>
      <c r="C4" s="4" t="s">
        <v>106</v>
      </c>
      <c r="D4" s="3" t="s">
        <v>67</v>
      </c>
    </row>
    <row r="5" spans="1:4">
      <c r="A5" s="2">
        <v>-3515.25</v>
      </c>
      <c r="B5" s="10">
        <v>46147</v>
      </c>
      <c r="C5" s="4" t="s">
        <v>130</v>
      </c>
      <c r="D5" s="3"/>
    </row>
    <row r="6" spans="1:4">
      <c r="A6" s="2">
        <v>50</v>
      </c>
      <c r="B6" s="10">
        <v>46147</v>
      </c>
      <c r="C6" s="4" t="s">
        <v>131</v>
      </c>
      <c r="D6" s="3" t="s">
        <v>40</v>
      </c>
    </row>
    <row r="7" spans="1:4">
      <c r="A7" s="2">
        <v>70</v>
      </c>
      <c r="B7" s="10">
        <v>46147</v>
      </c>
      <c r="C7" s="4" t="s">
        <v>132</v>
      </c>
      <c r="D7" s="3" t="s">
        <v>67</v>
      </c>
    </row>
    <row r="8" spans="1:4">
      <c r="A8" s="2">
        <v>-235</v>
      </c>
      <c r="B8" s="10">
        <v>46148</v>
      </c>
      <c r="C8" s="4" t="s">
        <v>133</v>
      </c>
      <c r="D8" s="3" t="s">
        <v>116</v>
      </c>
    </row>
    <row r="9" spans="1:4">
      <c r="A9" s="2">
        <v>-242.3</v>
      </c>
      <c r="B9" s="10">
        <v>46148</v>
      </c>
      <c r="C9" s="4" t="s">
        <v>134</v>
      </c>
      <c r="D9" s="3" t="s">
        <v>125</v>
      </c>
    </row>
    <row r="10" spans="1:4">
      <c r="A10" s="2">
        <v>3000</v>
      </c>
      <c r="B10" s="10">
        <v>46149</v>
      </c>
      <c r="C10" s="4" t="s">
        <v>135</v>
      </c>
      <c r="D10" s="3" t="s">
        <v>69</v>
      </c>
    </row>
    <row r="11" spans="1:4">
      <c r="A11" s="2">
        <v>-900</v>
      </c>
      <c r="B11" s="10">
        <v>46151</v>
      </c>
      <c r="C11" s="4" t="s">
        <v>40</v>
      </c>
      <c r="D11" s="3" t="s">
        <v>40</v>
      </c>
    </row>
    <row r="12" spans="1:4">
      <c r="A12" s="2"/>
      <c r="B12" s="3"/>
      <c r="C12" s="4"/>
      <c r="D12" s="3"/>
    </row>
    <row r="14" spans="1:4">
      <c r="A14" s="2"/>
      <c r="B14" s="3"/>
      <c r="C14" s="4"/>
      <c r="D14" s="3"/>
    </row>
    <row r="15" spans="1:4">
      <c r="A15" s="2"/>
      <c r="B15" s="3"/>
      <c r="C15" s="4"/>
      <c r="D15" s="3"/>
    </row>
    <row r="16" spans="1:4">
      <c r="A16" s="2"/>
      <c r="B16" s="3"/>
      <c r="C16" s="4"/>
      <c r="D16" s="3"/>
    </row>
    <row r="17" spans="1:4">
      <c r="A17" s="2"/>
      <c r="B17" s="3"/>
      <c r="C17" s="4"/>
      <c r="D17" s="3"/>
    </row>
    <row r="18" spans="1:4">
      <c r="A18" s="2"/>
      <c r="B18" s="3"/>
      <c r="C18" s="4"/>
      <c r="D18" s="3"/>
    </row>
    <row r="19" spans="1:4">
      <c r="A19" s="2"/>
      <c r="B19" s="3"/>
      <c r="C19" s="4"/>
      <c r="D19" s="3"/>
    </row>
    <row r="20" spans="1:4">
      <c r="A20" s="2"/>
      <c r="B20" s="3"/>
      <c r="C20" s="4"/>
      <c r="D20" s="3"/>
    </row>
    <row r="21" spans="1:4">
      <c r="A21" s="2"/>
      <c r="B21" s="3"/>
      <c r="C21" s="4"/>
      <c r="D21" s="3"/>
    </row>
    <row r="22" spans="1:4">
      <c r="A22" s="2"/>
      <c r="B22" s="3"/>
      <c r="C22" s="4"/>
      <c r="D22" s="3"/>
    </row>
    <row r="23" spans="1:4">
      <c r="A23" s="2"/>
      <c r="B23" s="3"/>
      <c r="C23" s="4"/>
      <c r="D23" s="3"/>
    </row>
    <row r="24" spans="1:4">
      <c r="A24" s="2"/>
      <c r="B24" s="3"/>
      <c r="C24" s="4"/>
      <c r="D24" s="3"/>
    </row>
    <row r="25" spans="1:4">
      <c r="A25" s="2"/>
      <c r="B25" s="3"/>
      <c r="C25" s="4"/>
      <c r="D25" s="3"/>
    </row>
    <row r="26" spans="1:4">
      <c r="A26" s="2"/>
      <c r="B26" s="3"/>
      <c r="C26" s="4"/>
      <c r="D26" s="3"/>
    </row>
    <row r="27" spans="1:4">
      <c r="A27" s="2"/>
      <c r="B27" s="3"/>
      <c r="C27" s="4"/>
      <c r="D27" s="3"/>
    </row>
    <row r="28" spans="1:4">
      <c r="A28" s="2"/>
      <c r="B28" s="3"/>
      <c r="C28" s="4"/>
      <c r="D28" s="3"/>
    </row>
    <row r="29" spans="1:4">
      <c r="A29" s="2"/>
      <c r="B29" s="3"/>
      <c r="C29" s="4"/>
      <c r="D29" s="3"/>
    </row>
    <row r="30" spans="1:4">
      <c r="A30" s="2"/>
      <c r="B30" s="3"/>
      <c r="C30" s="4"/>
      <c r="D30" s="3"/>
    </row>
    <row r="31" spans="1:4">
      <c r="A31" s="2"/>
      <c r="B31" s="3"/>
      <c r="C31" s="4"/>
      <c r="D31" s="3"/>
    </row>
    <row r="32" spans="1:4">
      <c r="A32" s="2"/>
      <c r="B32" s="3"/>
      <c r="C32" s="4"/>
      <c r="D32" s="3"/>
    </row>
    <row r="33" spans="1:4">
      <c r="A33" s="2"/>
      <c r="B33" s="3"/>
      <c r="C33" s="4"/>
      <c r="D33" s="3"/>
    </row>
    <row r="34" spans="1:4">
      <c r="A34" s="2"/>
      <c r="B34" s="3"/>
      <c r="C34" s="4"/>
      <c r="D34" s="3"/>
    </row>
    <row r="35" spans="1:4">
      <c r="A35" s="2"/>
      <c r="B35" s="3"/>
      <c r="C35" s="4"/>
      <c r="D35" s="3"/>
    </row>
    <row r="36" spans="1:4">
      <c r="A36" s="2"/>
      <c r="B36" s="3"/>
      <c r="C36" s="4"/>
      <c r="D36" s="3"/>
    </row>
    <row r="37" spans="1:4">
      <c r="A37" s="2"/>
      <c r="B37" s="3"/>
      <c r="C37" s="4"/>
      <c r="D37" s="3"/>
    </row>
    <row r="38" spans="1:4">
      <c r="A38" s="2"/>
      <c r="B38" s="3"/>
      <c r="C38" s="4"/>
      <c r="D38" s="3"/>
    </row>
    <row r="39" spans="1:4">
      <c r="A39" s="2"/>
      <c r="B39" s="3"/>
      <c r="C39" s="4"/>
      <c r="D39" s="3"/>
    </row>
    <row r="40" spans="1:4">
      <c r="A40" s="2"/>
      <c r="B40" s="3"/>
      <c r="C40" s="4"/>
      <c r="D40" s="3"/>
    </row>
    <row r="41" spans="1:4">
      <c r="A41" s="2"/>
      <c r="B41" s="3"/>
      <c r="C41" s="4"/>
      <c r="D41" s="3"/>
    </row>
    <row r="42" spans="1:4">
      <c r="A42" s="2"/>
      <c r="B42" s="3"/>
      <c r="C42" s="4"/>
      <c r="D42" s="3"/>
    </row>
    <row r="43" spans="1:4">
      <c r="A43" s="2"/>
      <c r="B43" s="3"/>
      <c r="C43" s="4"/>
      <c r="D43" s="3"/>
    </row>
    <row r="44" spans="1:4">
      <c r="A44" s="2"/>
      <c r="B44" s="3"/>
      <c r="C44" s="4"/>
      <c r="D44" s="3"/>
    </row>
    <row r="45" spans="1:4">
      <c r="A45" s="2"/>
      <c r="B45" s="3"/>
      <c r="C45" s="4"/>
      <c r="D45" s="3"/>
    </row>
    <row r="46" spans="1:4">
      <c r="A46" s="2"/>
      <c r="B46" s="3"/>
      <c r="C46" s="4"/>
      <c r="D46" s="3"/>
    </row>
    <row r="47" spans="1:4">
      <c r="A47" s="2"/>
      <c r="B47" s="3"/>
      <c r="C47" s="4"/>
      <c r="D47" s="3"/>
    </row>
    <row r="48" spans="1:4">
      <c r="A48" s="2"/>
      <c r="B48" s="3"/>
      <c r="C48" s="4"/>
      <c r="D48" s="3"/>
    </row>
    <row r="49" spans="1:4">
      <c r="A49" s="2"/>
      <c r="B49" s="3"/>
      <c r="C49" s="4"/>
      <c r="D49" s="3"/>
    </row>
    <row r="50" spans="1:4">
      <c r="A50" s="2"/>
      <c r="B50" s="3"/>
      <c r="C50" s="4"/>
      <c r="D50" s="3"/>
    </row>
    <row r="51" spans="1:4">
      <c r="A51" s="2"/>
      <c r="B51" s="3"/>
      <c r="C51" s="4"/>
      <c r="D51" s="3"/>
    </row>
    <row r="52" spans="1:4">
      <c r="A52" s="2"/>
      <c r="B52" s="3"/>
      <c r="C52" s="4"/>
      <c r="D52" s="3"/>
    </row>
  </sheetData>
  <dataValidations count="1">
    <dataValidation type="list" errorTitle="Tipo Inválido" error="Digite &quot;entrada&quot; ou &quot;saída&quot;" sqref="D2:D12 D14:D52" xr:uid="{00000000-0002-0000-0500-000000000000}">
      <formula1>"entrada,saída"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3:N19"/>
  <sheetViews>
    <sheetView zoomScale="166" workbookViewId="0">
      <pane ySplit="1" topLeftCell="A3" activePane="bottomLeft" state="frozen"/>
      <selection pane="bottomLeft" activeCell="D8" sqref="D8"/>
    </sheetView>
  </sheetViews>
  <sheetFormatPr baseColWidth="10" defaultColWidth="8.83203125" defaultRowHeight="15"/>
  <cols>
    <col min="4" max="4" width="26.5" bestFit="1" customWidth="1"/>
    <col min="6" max="6" width="6.6640625" bestFit="1" customWidth="1"/>
    <col min="8" max="8" width="13" bestFit="1" customWidth="1"/>
    <col min="9" max="9" width="11.83203125" bestFit="1" customWidth="1"/>
    <col min="10" max="10" width="9.5" bestFit="1" customWidth="1"/>
    <col min="13" max="13" width="22.5" bestFit="1" customWidth="1"/>
    <col min="14" max="14" width="11.83203125" bestFit="1" customWidth="1"/>
  </cols>
  <sheetData>
    <row r="3" spans="2:14">
      <c r="B3" s="87">
        <f ca="1">SUM(B4:C28)</f>
        <v>242471.76890706539</v>
      </c>
      <c r="C3" s="71"/>
      <c r="D3" s="19" t="s">
        <v>178</v>
      </c>
      <c r="E3" s="20"/>
      <c r="F3" s="88" t="s">
        <v>180</v>
      </c>
      <c r="G3" s="78"/>
      <c r="H3" s="71"/>
      <c r="I3" s="21">
        <f ca="1">$I$14*H12</f>
        <v>10652.138907065375</v>
      </c>
      <c r="J3" s="22"/>
      <c r="K3" s="89" t="s">
        <v>147</v>
      </c>
      <c r="L3" s="78"/>
      <c r="M3" s="71"/>
      <c r="N3" s="23">
        <f>N4+(SUM(K5:L7))</f>
        <v>12451.01</v>
      </c>
    </row>
    <row r="4" spans="2:14">
      <c r="B4" s="90">
        <f>93638.9+54418-56</f>
        <v>148000.9</v>
      </c>
      <c r="C4" s="71"/>
      <c r="D4" s="24" t="s">
        <v>179</v>
      </c>
      <c r="E4" s="25"/>
      <c r="F4" s="26" t="s">
        <v>148</v>
      </c>
      <c r="G4" s="26" t="s">
        <v>181</v>
      </c>
      <c r="H4" s="26" t="s">
        <v>149</v>
      </c>
      <c r="I4" s="26" t="s">
        <v>150</v>
      </c>
      <c r="J4" s="22"/>
      <c r="K4" s="77" t="s">
        <v>151</v>
      </c>
      <c r="L4" s="78"/>
      <c r="M4" s="78"/>
      <c r="N4" s="27">
        <f>12451.01-12200</f>
        <v>251.01000000000022</v>
      </c>
    </row>
    <row r="5" spans="2:14">
      <c r="B5" s="70">
        <v>5246.44</v>
      </c>
      <c r="C5" s="71"/>
      <c r="D5" s="28" t="s">
        <v>152</v>
      </c>
      <c r="E5" s="25"/>
      <c r="F5" s="29">
        <v>45680</v>
      </c>
      <c r="G5" s="30">
        <v>101000</v>
      </c>
      <c r="H5" s="31">
        <v>1000</v>
      </c>
      <c r="I5" s="32">
        <v>1.62111E-3</v>
      </c>
      <c r="J5" s="25"/>
      <c r="K5" s="74">
        <v>10000</v>
      </c>
      <c r="L5" s="71"/>
      <c r="M5" s="24" t="s">
        <v>153</v>
      </c>
      <c r="N5" s="33">
        <v>46375</v>
      </c>
    </row>
    <row r="6" spans="2:14">
      <c r="B6" s="83">
        <f ca="1">I3</f>
        <v>10652.138907065375</v>
      </c>
      <c r="C6" s="71"/>
      <c r="D6" s="34" t="s">
        <v>154</v>
      </c>
      <c r="E6" s="25"/>
      <c r="F6" s="29">
        <v>45713</v>
      </c>
      <c r="G6" s="30">
        <v>89000</v>
      </c>
      <c r="H6" s="31">
        <v>1000</v>
      </c>
      <c r="I6" s="32">
        <v>1.9303499999999999E-3</v>
      </c>
      <c r="J6" s="22"/>
      <c r="K6" s="74">
        <v>2200</v>
      </c>
      <c r="L6" s="71"/>
      <c r="M6" s="24" t="s">
        <v>155</v>
      </c>
      <c r="N6" s="33">
        <v>46356</v>
      </c>
    </row>
    <row r="7" spans="2:14">
      <c r="B7" s="84">
        <v>391</v>
      </c>
      <c r="C7" s="71"/>
      <c r="D7" s="35" t="s">
        <v>156</v>
      </c>
      <c r="E7" s="25"/>
      <c r="F7" s="29">
        <v>45716</v>
      </c>
      <c r="G7" s="30">
        <v>80000</v>
      </c>
      <c r="H7" s="31">
        <v>1200</v>
      </c>
      <c r="I7" s="32">
        <v>2.5087400000000002E-3</v>
      </c>
      <c r="J7" s="22"/>
      <c r="K7" s="74"/>
      <c r="L7" s="71"/>
      <c r="M7" s="24"/>
      <c r="N7" s="33"/>
    </row>
    <row r="8" spans="2:14">
      <c r="B8" s="85">
        <v>20044</v>
      </c>
      <c r="C8" s="71"/>
      <c r="D8" s="36" t="s">
        <v>157</v>
      </c>
      <c r="E8" s="25"/>
      <c r="F8" s="29">
        <v>45713</v>
      </c>
      <c r="G8" s="37" t="s">
        <v>158</v>
      </c>
      <c r="H8" s="31">
        <v>0</v>
      </c>
      <c r="I8" s="32">
        <v>1.4000000000000001E-7</v>
      </c>
      <c r="J8" s="22"/>
    </row>
    <row r="9" spans="2:14">
      <c r="B9" s="76">
        <v>11520</v>
      </c>
      <c r="C9" s="71"/>
      <c r="D9" s="38" t="s">
        <v>177</v>
      </c>
      <c r="E9" s="25"/>
      <c r="F9" s="29">
        <v>45946</v>
      </c>
      <c r="G9" s="30">
        <v>108204</v>
      </c>
      <c r="H9" s="31">
        <v>3010</v>
      </c>
      <c r="I9" s="32">
        <f>0.00508746</f>
        <v>5.0874600000000002E-3</v>
      </c>
      <c r="K9" s="86" t="s">
        <v>159</v>
      </c>
      <c r="L9" s="78"/>
      <c r="M9" s="71"/>
      <c r="N9" s="23">
        <f>N10+(SUM(K11:L13))</f>
        <v>15251.01</v>
      </c>
    </row>
    <row r="10" spans="2:14">
      <c r="B10" s="76">
        <v>10000</v>
      </c>
      <c r="C10" s="71"/>
      <c r="D10" s="38" t="s">
        <v>160</v>
      </c>
      <c r="E10" s="25"/>
      <c r="F10" s="29">
        <v>45978</v>
      </c>
      <c r="G10" s="39">
        <v>95000</v>
      </c>
      <c r="H10" s="31">
        <v>3000</v>
      </c>
      <c r="I10" s="32">
        <f>0.00590255</f>
        <v>5.9025500000000003E-3</v>
      </c>
      <c r="J10" s="22"/>
      <c r="K10" s="77" t="s">
        <v>151</v>
      </c>
      <c r="L10" s="78"/>
      <c r="M10" s="78"/>
      <c r="N10" s="27">
        <f>12451.01-12200</f>
        <v>251.01000000000022</v>
      </c>
    </row>
    <row r="11" spans="2:14">
      <c r="B11" s="76">
        <v>4600</v>
      </c>
      <c r="C11" s="71"/>
      <c r="D11" s="38" t="s">
        <v>161</v>
      </c>
      <c r="E11" s="25"/>
      <c r="F11" s="29">
        <v>45979</v>
      </c>
      <c r="G11" s="30">
        <v>89985</v>
      </c>
      <c r="H11" s="31">
        <v>5000</v>
      </c>
      <c r="I11" s="32">
        <f>0.02744994-0.01705035</f>
        <v>1.039959E-2</v>
      </c>
      <c r="J11" s="22"/>
      <c r="K11" s="74">
        <v>8000</v>
      </c>
      <c r="L11" s="71"/>
      <c r="M11" s="24" t="s">
        <v>162</v>
      </c>
      <c r="N11" s="33">
        <v>46034</v>
      </c>
    </row>
    <row r="12" spans="2:14">
      <c r="B12" s="73">
        <v>5000</v>
      </c>
      <c r="C12" s="71"/>
      <c r="D12" s="40" t="s">
        <v>163</v>
      </c>
      <c r="F12" s="79" t="s">
        <v>164</v>
      </c>
      <c r="G12" s="80"/>
      <c r="H12" s="81">
        <f ca="1">IFERROR(__xludf.DUMMYFUNCTION("GOOGLEFINANCE(""CURRENCY:BTCBRL"")
"),388056.9104)</f>
        <v>388056.91039999999</v>
      </c>
      <c r="I12" s="82"/>
      <c r="J12" s="25"/>
      <c r="K12" s="74">
        <v>7000</v>
      </c>
      <c r="L12" s="71"/>
      <c r="M12" s="24" t="s">
        <v>165</v>
      </c>
      <c r="N12" s="33">
        <v>46034</v>
      </c>
    </row>
    <row r="13" spans="2:14">
      <c r="B13" s="73">
        <v>5000</v>
      </c>
      <c r="C13" s="71"/>
      <c r="D13" s="40" t="s">
        <v>166</v>
      </c>
      <c r="F13" s="41" t="s">
        <v>167</v>
      </c>
      <c r="G13" s="41" t="s">
        <v>168</v>
      </c>
      <c r="H13" s="41" t="s">
        <v>169</v>
      </c>
      <c r="I13" s="41" t="s">
        <v>170</v>
      </c>
      <c r="J13" s="25"/>
      <c r="K13" s="74"/>
      <c r="L13" s="71"/>
      <c r="M13" s="24"/>
      <c r="N13" s="33"/>
    </row>
    <row r="14" spans="2:14">
      <c r="B14" s="75">
        <v>2207.29</v>
      </c>
      <c r="C14" s="71"/>
      <c r="D14" s="42" t="s">
        <v>171</v>
      </c>
      <c r="E14" s="43"/>
      <c r="F14" s="44">
        <v>5</v>
      </c>
      <c r="G14" s="45">
        <f>AVERAGE(G5:G11)</f>
        <v>93864.833333333328</v>
      </c>
      <c r="H14" s="46">
        <f>SUM(H5:H11)</f>
        <v>14210</v>
      </c>
      <c r="I14" s="47">
        <f>SUM(I5:I12)</f>
        <v>2.7449939999999999E-2</v>
      </c>
    </row>
    <row r="15" spans="2:14">
      <c r="B15" s="70">
        <v>5000</v>
      </c>
      <c r="C15" s="71"/>
      <c r="D15" s="28" t="s">
        <v>172</v>
      </c>
      <c r="E15" s="43"/>
      <c r="F15" s="22"/>
      <c r="G15" s="22"/>
      <c r="H15" s="22"/>
      <c r="I15" s="48">
        <f ca="1">I3-H14</f>
        <v>-3557.861092934625</v>
      </c>
    </row>
    <row r="16" spans="2:14">
      <c r="B16" s="70">
        <v>3000</v>
      </c>
      <c r="C16" s="71"/>
      <c r="D16" s="28" t="s">
        <v>173</v>
      </c>
      <c r="E16" s="43"/>
      <c r="F16" s="22"/>
      <c r="G16" s="22"/>
      <c r="H16" s="22"/>
      <c r="I16" s="49" t="s">
        <v>174</v>
      </c>
    </row>
    <row r="17" spans="2:9">
      <c r="B17" s="70">
        <v>4000</v>
      </c>
      <c r="C17" s="71"/>
      <c r="D17" s="28" t="s">
        <v>173</v>
      </c>
    </row>
    <row r="18" spans="2:9">
      <c r="B18" s="70">
        <v>3300</v>
      </c>
      <c r="C18" s="71"/>
      <c r="D18" s="28" t="s">
        <v>175</v>
      </c>
      <c r="I18" s="25"/>
    </row>
    <row r="19" spans="2:9">
      <c r="B19" s="72">
        <f>600+3360+300+250</f>
        <v>4510</v>
      </c>
      <c r="C19" s="71"/>
      <c r="D19" s="50" t="s">
        <v>176</v>
      </c>
      <c r="I19" s="25"/>
    </row>
  </sheetData>
  <mergeCells count="30">
    <mergeCell ref="B9:C9"/>
    <mergeCell ref="K9:M9"/>
    <mergeCell ref="B3:C3"/>
    <mergeCell ref="F3:H3"/>
    <mergeCell ref="K3:M3"/>
    <mergeCell ref="B4:C4"/>
    <mergeCell ref="K4:M4"/>
    <mergeCell ref="B5:C5"/>
    <mergeCell ref="K5:L5"/>
    <mergeCell ref="B6:C6"/>
    <mergeCell ref="K6:L6"/>
    <mergeCell ref="B7:C7"/>
    <mergeCell ref="K7:L7"/>
    <mergeCell ref="B8:C8"/>
    <mergeCell ref="B10:C10"/>
    <mergeCell ref="K10:M10"/>
    <mergeCell ref="B11:C11"/>
    <mergeCell ref="K11:L11"/>
    <mergeCell ref="B12:C12"/>
    <mergeCell ref="F12:G12"/>
    <mergeCell ref="H12:I12"/>
    <mergeCell ref="K12:L12"/>
    <mergeCell ref="B18:C18"/>
    <mergeCell ref="B19:C19"/>
    <mergeCell ref="B13:C13"/>
    <mergeCell ref="K13:L13"/>
    <mergeCell ref="B14:C14"/>
    <mergeCell ref="B15:C15"/>
    <mergeCell ref="B16:C16"/>
    <mergeCell ref="B17:C17"/>
  </mergeCells>
  <pageMargins left="0.75" right="0.75" top="1" bottom="1" header="0.5" footer="0.5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62"/>
  <sheetViews>
    <sheetView tabSelected="1" workbookViewId="0">
      <pane ySplit="1" topLeftCell="A13" activePane="bottomLeft" state="frozen"/>
      <selection pane="bottomLeft" activeCell="E22" sqref="E22"/>
    </sheetView>
  </sheetViews>
  <sheetFormatPr baseColWidth="10" defaultColWidth="8.83203125" defaultRowHeight="15"/>
  <cols>
    <col min="1" max="1" width="14" customWidth="1"/>
    <col min="2" max="2" width="6.33203125" bestFit="1" customWidth="1"/>
    <col min="3" max="3" width="40" customWidth="1"/>
    <col min="4" max="4" width="12" customWidth="1"/>
    <col min="5" max="5" width="56.1640625" bestFit="1" customWidth="1"/>
    <col min="6" max="6" width="13.33203125" bestFit="1" customWidth="1"/>
  </cols>
  <sheetData>
    <row r="1" spans="1:6" ht="25" customHeight="1">
      <c r="A1" s="52" t="s">
        <v>182</v>
      </c>
      <c r="B1" s="52" t="s">
        <v>148</v>
      </c>
      <c r="C1" s="52" t="s">
        <v>183</v>
      </c>
      <c r="D1" s="52" t="s">
        <v>184</v>
      </c>
      <c r="E1" s="52" t="s">
        <v>185</v>
      </c>
      <c r="F1" s="52" t="s">
        <v>186</v>
      </c>
    </row>
    <row r="2" spans="1:6">
      <c r="A2" s="54" t="s">
        <v>187</v>
      </c>
      <c r="B2" s="55">
        <v>46121</v>
      </c>
      <c r="C2" s="56">
        <v>600</v>
      </c>
      <c r="D2" s="53" t="s">
        <v>188</v>
      </c>
      <c r="E2" s="18" t="s">
        <v>189</v>
      </c>
      <c r="F2" s="57" t="s">
        <v>32</v>
      </c>
    </row>
    <row r="3" spans="1:6">
      <c r="A3" s="54" t="s">
        <v>187</v>
      </c>
      <c r="B3" s="55">
        <v>46127</v>
      </c>
      <c r="C3" s="56">
        <v>150</v>
      </c>
      <c r="D3" s="53" t="s">
        <v>188</v>
      </c>
      <c r="E3" s="18" t="s">
        <v>190</v>
      </c>
      <c r="F3" s="58" t="s">
        <v>191</v>
      </c>
    </row>
    <row r="4" spans="1:6">
      <c r="A4" s="54" t="s">
        <v>187</v>
      </c>
      <c r="B4" s="55">
        <v>46133</v>
      </c>
      <c r="C4" s="56">
        <v>500</v>
      </c>
      <c r="D4" s="53" t="s">
        <v>192</v>
      </c>
      <c r="E4" s="18" t="s">
        <v>193</v>
      </c>
      <c r="F4" s="58" t="s">
        <v>191</v>
      </c>
    </row>
    <row r="5" spans="1:6">
      <c r="A5" s="54" t="s">
        <v>187</v>
      </c>
      <c r="B5" s="55">
        <v>46134</v>
      </c>
      <c r="C5" s="56">
        <v>-381.57</v>
      </c>
      <c r="D5" s="53" t="s">
        <v>194</v>
      </c>
      <c r="E5" s="18" t="s">
        <v>195</v>
      </c>
      <c r="F5" s="59" t="s">
        <v>146</v>
      </c>
    </row>
    <row r="6" spans="1:6">
      <c r="A6" s="54" t="s">
        <v>187</v>
      </c>
      <c r="B6" s="55">
        <v>46144</v>
      </c>
      <c r="C6" s="56">
        <v>-55.88</v>
      </c>
      <c r="D6" s="53" t="s">
        <v>194</v>
      </c>
      <c r="E6" s="18" t="s">
        <v>196</v>
      </c>
      <c r="F6" s="60" t="s">
        <v>37</v>
      </c>
    </row>
    <row r="7" spans="1:6">
      <c r="A7" s="61" t="s">
        <v>197</v>
      </c>
      <c r="B7" s="55">
        <v>46154</v>
      </c>
      <c r="C7" s="56">
        <v>200</v>
      </c>
      <c r="D7" s="53" t="s">
        <v>198</v>
      </c>
      <c r="E7" s="18" t="s">
        <v>199</v>
      </c>
      <c r="F7" s="58" t="s">
        <v>191</v>
      </c>
    </row>
    <row r="8" spans="1:6">
      <c r="A8" s="61" t="s">
        <v>197</v>
      </c>
      <c r="B8" s="55">
        <v>46154</v>
      </c>
      <c r="C8" s="56">
        <v>300</v>
      </c>
      <c r="D8" s="53" t="s">
        <v>188</v>
      </c>
      <c r="E8" s="18" t="s">
        <v>200</v>
      </c>
      <c r="F8" s="57" t="s">
        <v>32</v>
      </c>
    </row>
    <row r="9" spans="1:6">
      <c r="A9" s="61" t="s">
        <v>197</v>
      </c>
      <c r="B9" s="55">
        <v>46161</v>
      </c>
      <c r="C9" s="56">
        <v>500</v>
      </c>
      <c r="D9" s="53" t="s">
        <v>201</v>
      </c>
      <c r="E9" s="18" t="s">
        <v>202</v>
      </c>
      <c r="F9" s="58" t="s">
        <v>191</v>
      </c>
    </row>
    <row r="10" spans="1:6">
      <c r="A10" s="61" t="s">
        <v>197</v>
      </c>
      <c r="B10" s="55">
        <v>46162</v>
      </c>
      <c r="C10" s="56">
        <v>-1600</v>
      </c>
      <c r="D10" s="53" t="s">
        <v>194</v>
      </c>
      <c r="E10" s="18" t="s">
        <v>203</v>
      </c>
      <c r="F10" s="59" t="s">
        <v>146</v>
      </c>
    </row>
    <row r="11" spans="1:6">
      <c r="A11" s="61" t="s">
        <v>197</v>
      </c>
      <c r="B11" s="55">
        <v>46168</v>
      </c>
      <c r="C11" s="56">
        <v>1000</v>
      </c>
      <c r="D11" s="53" t="s">
        <v>204</v>
      </c>
      <c r="E11" s="18" t="s">
        <v>205</v>
      </c>
      <c r="F11" s="58" t="s">
        <v>191</v>
      </c>
    </row>
    <row r="12" spans="1:6">
      <c r="A12" s="61" t="s">
        <v>197</v>
      </c>
      <c r="B12" s="55">
        <v>46171</v>
      </c>
      <c r="C12" s="56">
        <v>250</v>
      </c>
      <c r="D12" s="53" t="s">
        <v>204</v>
      </c>
      <c r="E12" s="18" t="s">
        <v>206</v>
      </c>
      <c r="F12" s="58" t="s">
        <v>191</v>
      </c>
    </row>
    <row r="13" spans="1:6">
      <c r="A13" s="61" t="s">
        <v>197</v>
      </c>
      <c r="B13" s="55">
        <v>46171</v>
      </c>
      <c r="C13" s="56">
        <v>-32.159999999999997</v>
      </c>
      <c r="D13" s="53" t="s">
        <v>207</v>
      </c>
      <c r="E13" s="18" t="s">
        <v>208</v>
      </c>
      <c r="F13" s="59" t="s">
        <v>146</v>
      </c>
    </row>
    <row r="14" spans="1:6">
      <c r="A14" s="61" t="s">
        <v>197</v>
      </c>
      <c r="B14" s="55">
        <v>46172</v>
      </c>
      <c r="C14" s="56">
        <v>1190</v>
      </c>
      <c r="D14" s="53" t="s">
        <v>204</v>
      </c>
      <c r="E14" s="18" t="s">
        <v>209</v>
      </c>
      <c r="F14" s="58" t="s">
        <v>191</v>
      </c>
    </row>
    <row r="15" spans="1:6">
      <c r="A15" s="61" t="s">
        <v>197</v>
      </c>
      <c r="B15" s="55">
        <v>46172</v>
      </c>
      <c r="C15" s="56">
        <v>500</v>
      </c>
      <c r="D15" s="53" t="s">
        <v>210</v>
      </c>
      <c r="E15" s="18" t="s">
        <v>211</v>
      </c>
      <c r="F15" s="58" t="s">
        <v>191</v>
      </c>
    </row>
    <row r="16" spans="1:6">
      <c r="A16" s="62" t="s">
        <v>212</v>
      </c>
      <c r="B16" s="55">
        <v>46175</v>
      </c>
      <c r="C16" s="56">
        <v>-229.04</v>
      </c>
      <c r="D16" s="53" t="s">
        <v>194</v>
      </c>
      <c r="E16" s="18" t="s">
        <v>37</v>
      </c>
      <c r="F16" s="60" t="s">
        <v>37</v>
      </c>
    </row>
    <row r="17" spans="1:6">
      <c r="A17" s="62" t="s">
        <v>212</v>
      </c>
      <c r="B17" s="55">
        <v>46176</v>
      </c>
      <c r="C17" s="56">
        <v>600</v>
      </c>
      <c r="D17" s="53" t="s">
        <v>188</v>
      </c>
      <c r="E17" s="18" t="s">
        <v>188</v>
      </c>
      <c r="F17" s="57" t="s">
        <v>32</v>
      </c>
    </row>
    <row r="18" spans="1:6">
      <c r="A18" s="62" t="s">
        <v>212</v>
      </c>
      <c r="B18" s="55">
        <v>46176</v>
      </c>
      <c r="C18" s="56">
        <v>-122</v>
      </c>
      <c r="D18" s="53" t="s">
        <v>194</v>
      </c>
      <c r="E18" s="18" t="s">
        <v>213</v>
      </c>
      <c r="F18" s="60" t="s">
        <v>37</v>
      </c>
    </row>
    <row r="19" spans="1:6">
      <c r="A19" s="62" t="s">
        <v>212</v>
      </c>
      <c r="B19" s="55">
        <v>46176</v>
      </c>
      <c r="C19" s="56">
        <v>450</v>
      </c>
      <c r="D19" s="53" t="s">
        <v>214</v>
      </c>
      <c r="E19" s="18" t="s">
        <v>215</v>
      </c>
      <c r="F19" s="58" t="s">
        <v>191</v>
      </c>
    </row>
    <row r="20" spans="1:6">
      <c r="A20" s="62" t="s">
        <v>212</v>
      </c>
      <c r="B20" s="55">
        <v>46182</v>
      </c>
      <c r="C20" s="56">
        <v>-1052.9000000000001</v>
      </c>
      <c r="D20" s="53" t="s">
        <v>194</v>
      </c>
      <c r="E20" s="18" t="s">
        <v>216</v>
      </c>
      <c r="F20" s="59" t="s">
        <v>146</v>
      </c>
    </row>
    <row r="21" spans="1:6">
      <c r="A21" s="62" t="s">
        <v>212</v>
      </c>
      <c r="B21" s="55">
        <v>46183</v>
      </c>
      <c r="C21" s="56">
        <v>700</v>
      </c>
      <c r="D21" s="53" t="s">
        <v>217</v>
      </c>
      <c r="E21" s="18" t="s">
        <v>218</v>
      </c>
      <c r="F21" s="57" t="s">
        <v>32</v>
      </c>
    </row>
    <row r="22" spans="1:6">
      <c r="A22" s="62" t="s">
        <v>212</v>
      </c>
      <c r="B22" s="55">
        <v>46185</v>
      </c>
      <c r="C22" s="56">
        <v>1500</v>
      </c>
      <c r="D22" s="53" t="s">
        <v>207</v>
      </c>
      <c r="E22" s="18" t="s">
        <v>219</v>
      </c>
      <c r="F22" s="57" t="s">
        <v>32</v>
      </c>
    </row>
    <row r="23" spans="1:6">
      <c r="A23" s="62" t="s">
        <v>212</v>
      </c>
      <c r="B23" s="55">
        <v>46193</v>
      </c>
      <c r="C23" s="56">
        <v>-3000</v>
      </c>
      <c r="D23" s="53" t="s">
        <v>220</v>
      </c>
    </row>
    <row r="24" spans="1:6">
      <c r="A24" s="62" t="s">
        <v>212</v>
      </c>
      <c r="B24" s="55">
        <v>46198</v>
      </c>
      <c r="C24" s="56">
        <v>-800</v>
      </c>
      <c r="D24" s="53" t="s">
        <v>194</v>
      </c>
      <c r="E24" s="18" t="s">
        <v>221</v>
      </c>
      <c r="F24" s="59" t="s">
        <v>146</v>
      </c>
    </row>
    <row r="25" spans="1:6">
      <c r="A25" s="62" t="s">
        <v>212</v>
      </c>
      <c r="B25" s="55">
        <v>46203</v>
      </c>
      <c r="C25" s="56">
        <v>990</v>
      </c>
      <c r="D25" s="53" t="s">
        <v>222</v>
      </c>
      <c r="E25" s="18" t="s">
        <v>223</v>
      </c>
      <c r="F25" s="57" t="s">
        <v>32</v>
      </c>
    </row>
    <row r="26" spans="1:6">
      <c r="A26" s="63" t="s">
        <v>224</v>
      </c>
      <c r="B26" s="55">
        <v>46205</v>
      </c>
      <c r="C26" s="56">
        <v>1300</v>
      </c>
      <c r="D26" s="53" t="s">
        <v>225</v>
      </c>
      <c r="E26" s="18" t="s">
        <v>226</v>
      </c>
      <c r="F26" s="58" t="s">
        <v>191</v>
      </c>
    </row>
    <row r="27" spans="1:6">
      <c r="A27" s="63" t="s">
        <v>224</v>
      </c>
      <c r="B27" s="55">
        <v>46206</v>
      </c>
      <c r="C27" s="56">
        <v>350</v>
      </c>
      <c r="D27" s="53" t="s">
        <v>227</v>
      </c>
      <c r="E27" s="18" t="s">
        <v>228</v>
      </c>
      <c r="F27" s="58" t="s">
        <v>191</v>
      </c>
    </row>
    <row r="28" spans="1:6">
      <c r="A28" s="63" t="s">
        <v>224</v>
      </c>
      <c r="B28" s="55">
        <v>46218</v>
      </c>
      <c r="C28" s="56">
        <v>-3200</v>
      </c>
      <c r="D28" s="53" t="s">
        <v>220</v>
      </c>
    </row>
    <row r="29" spans="1:6">
      <c r="A29" s="63" t="s">
        <v>224</v>
      </c>
      <c r="B29" s="55">
        <v>46219</v>
      </c>
      <c r="C29" s="56">
        <v>550</v>
      </c>
      <c r="D29" s="53" t="s">
        <v>229</v>
      </c>
      <c r="E29" s="18" t="s">
        <v>230</v>
      </c>
      <c r="F29" s="58" t="s">
        <v>191</v>
      </c>
    </row>
    <row r="30" spans="1:6">
      <c r="A30" s="63" t="s">
        <v>224</v>
      </c>
      <c r="B30" s="55">
        <v>46220</v>
      </c>
      <c r="C30" s="56">
        <v>600</v>
      </c>
      <c r="D30" s="53" t="s">
        <v>188</v>
      </c>
      <c r="E30" s="18" t="s">
        <v>224</v>
      </c>
      <c r="F30" s="57" t="s">
        <v>32</v>
      </c>
    </row>
    <row r="31" spans="1:6">
      <c r="A31" s="63" t="s">
        <v>224</v>
      </c>
      <c r="B31" s="55">
        <v>46221</v>
      </c>
      <c r="C31" s="56">
        <v>-600</v>
      </c>
      <c r="D31" s="53" t="s">
        <v>231</v>
      </c>
      <c r="E31" s="18" t="s">
        <v>232</v>
      </c>
      <c r="F31" s="59" t="s">
        <v>146</v>
      </c>
    </row>
    <row r="32" spans="1:6">
      <c r="A32" s="63" t="s">
        <v>224</v>
      </c>
      <c r="B32" s="55">
        <v>46224</v>
      </c>
      <c r="C32" s="56">
        <v>-800</v>
      </c>
      <c r="D32" s="53" t="s">
        <v>194</v>
      </c>
      <c r="E32" s="18" t="s">
        <v>233</v>
      </c>
      <c r="F32" s="59" t="s">
        <v>146</v>
      </c>
    </row>
    <row r="33" spans="1:6">
      <c r="A33" s="63" t="s">
        <v>224</v>
      </c>
      <c r="B33" s="55">
        <v>46224</v>
      </c>
      <c r="C33" s="56">
        <v>1500</v>
      </c>
      <c r="D33" s="53" t="s">
        <v>234</v>
      </c>
      <c r="E33" s="18" t="s">
        <v>235</v>
      </c>
      <c r="F33" s="57" t="s">
        <v>32</v>
      </c>
    </row>
    <row r="34" spans="1:6">
      <c r="A34" s="63" t="s">
        <v>224</v>
      </c>
      <c r="B34" s="55">
        <v>46231</v>
      </c>
      <c r="C34" s="56">
        <v>-35.9</v>
      </c>
      <c r="D34" s="53" t="s">
        <v>194</v>
      </c>
      <c r="E34" s="18" t="s">
        <v>236</v>
      </c>
      <c r="F34" s="60" t="s">
        <v>37</v>
      </c>
    </row>
    <row r="35" spans="1:6">
      <c r="A35" s="63" t="s">
        <v>224</v>
      </c>
      <c r="B35" s="55">
        <v>46260</v>
      </c>
      <c r="C35" s="56">
        <v>990</v>
      </c>
      <c r="D35" s="53" t="s">
        <v>237</v>
      </c>
      <c r="E35" s="18" t="s">
        <v>238</v>
      </c>
      <c r="F35" s="57" t="s">
        <v>32</v>
      </c>
    </row>
    <row r="36" spans="1:6">
      <c r="A36" s="64" t="s">
        <v>239</v>
      </c>
      <c r="B36" s="55">
        <v>46238</v>
      </c>
      <c r="C36" s="56">
        <v>-130</v>
      </c>
      <c r="D36" s="53" t="s">
        <v>240</v>
      </c>
      <c r="E36" s="51"/>
      <c r="F36" s="59" t="s">
        <v>146</v>
      </c>
    </row>
    <row r="37" spans="1:6">
      <c r="A37" s="64" t="s">
        <v>239</v>
      </c>
      <c r="B37" s="55">
        <v>46238</v>
      </c>
      <c r="C37" s="56">
        <v>-242</v>
      </c>
      <c r="D37" s="53" t="s">
        <v>241</v>
      </c>
      <c r="E37" s="18" t="s">
        <v>242</v>
      </c>
      <c r="F37" s="60" t="s">
        <v>37</v>
      </c>
    </row>
    <row r="38" spans="1:6">
      <c r="A38" s="64" t="s">
        <v>239</v>
      </c>
      <c r="B38" s="55">
        <v>46239</v>
      </c>
      <c r="C38" s="56">
        <v>-96.67</v>
      </c>
      <c r="D38" s="53" t="s">
        <v>243</v>
      </c>
      <c r="E38" s="51"/>
      <c r="F38" s="60" t="s">
        <v>37</v>
      </c>
    </row>
    <row r="39" spans="1:6">
      <c r="A39" s="64" t="s">
        <v>239</v>
      </c>
      <c r="B39" s="55">
        <v>46239</v>
      </c>
      <c r="C39" s="56">
        <v>-839.14</v>
      </c>
      <c r="D39" s="53" t="s">
        <v>194</v>
      </c>
      <c r="E39" s="18" t="s">
        <v>244</v>
      </c>
      <c r="F39" s="59" t="s">
        <v>146</v>
      </c>
    </row>
    <row r="40" spans="1:6">
      <c r="A40" s="64" t="s">
        <v>239</v>
      </c>
      <c r="B40" s="55">
        <v>46240</v>
      </c>
      <c r="C40" s="56">
        <v>150</v>
      </c>
      <c r="D40" s="53" t="s">
        <v>188</v>
      </c>
      <c r="E40" s="18" t="s">
        <v>245</v>
      </c>
      <c r="F40" s="58" t="s">
        <v>191</v>
      </c>
    </row>
    <row r="41" spans="1:6">
      <c r="A41" s="64" t="s">
        <v>239</v>
      </c>
      <c r="B41" s="55">
        <v>46241</v>
      </c>
      <c r="C41" s="56">
        <v>-100</v>
      </c>
      <c r="D41" s="53" t="s">
        <v>194</v>
      </c>
      <c r="E41" s="18" t="s">
        <v>246</v>
      </c>
      <c r="F41" s="59" t="s">
        <v>146</v>
      </c>
    </row>
    <row r="42" spans="1:6">
      <c r="A42" s="64" t="s">
        <v>239</v>
      </c>
      <c r="B42" s="55">
        <v>46245</v>
      </c>
      <c r="C42" s="56">
        <v>-80</v>
      </c>
      <c r="D42" s="53" t="s">
        <v>194</v>
      </c>
      <c r="E42" s="18" t="s">
        <v>247</v>
      </c>
      <c r="F42" s="59" t="s">
        <v>146</v>
      </c>
    </row>
    <row r="43" spans="1:6">
      <c r="A43" s="64" t="s">
        <v>239</v>
      </c>
      <c r="B43" s="55">
        <v>46247</v>
      </c>
      <c r="C43" s="56">
        <v>-10.73</v>
      </c>
      <c r="D43" s="53" t="s">
        <v>194</v>
      </c>
      <c r="E43" s="18" t="s">
        <v>248</v>
      </c>
      <c r="F43" s="59" t="s">
        <v>146</v>
      </c>
    </row>
    <row r="44" spans="1:6">
      <c r="A44" s="64" t="s">
        <v>239</v>
      </c>
      <c r="B44" s="55">
        <v>46247</v>
      </c>
      <c r="C44" s="56">
        <v>-35.9</v>
      </c>
      <c r="D44" s="53" t="s">
        <v>194</v>
      </c>
      <c r="E44" s="18" t="s">
        <v>236</v>
      </c>
      <c r="F44" s="60" t="s">
        <v>37</v>
      </c>
    </row>
    <row r="45" spans="1:6">
      <c r="A45" s="64" t="s">
        <v>239</v>
      </c>
      <c r="B45" s="55">
        <v>46254</v>
      </c>
      <c r="C45" s="56">
        <v>600</v>
      </c>
      <c r="D45" s="53" t="s">
        <v>249</v>
      </c>
      <c r="E45" s="18" t="s">
        <v>250</v>
      </c>
      <c r="F45" s="58" t="s">
        <v>191</v>
      </c>
    </row>
    <row r="46" spans="1:6">
      <c r="A46" s="64" t="s">
        <v>239</v>
      </c>
      <c r="B46" s="55">
        <v>46254</v>
      </c>
      <c r="C46" s="56">
        <v>-800</v>
      </c>
      <c r="D46" s="53" t="s">
        <v>251</v>
      </c>
      <c r="E46" s="18" t="s">
        <v>252</v>
      </c>
      <c r="F46" s="59" t="s">
        <v>146</v>
      </c>
    </row>
    <row r="47" spans="1:6">
      <c r="A47" s="51"/>
      <c r="B47" s="51"/>
      <c r="C47" s="51"/>
      <c r="D47" s="51"/>
      <c r="E47" s="51"/>
      <c r="F47" s="51"/>
    </row>
    <row r="48" spans="1:6">
      <c r="A48" s="51"/>
      <c r="B48" s="55">
        <v>46256</v>
      </c>
      <c r="C48" s="56">
        <v>6296.95</v>
      </c>
      <c r="D48" s="53" t="s">
        <v>253</v>
      </c>
      <c r="E48" s="51"/>
      <c r="F48" s="51"/>
    </row>
    <row r="49" spans="1:6">
      <c r="A49" s="64" t="s">
        <v>239</v>
      </c>
      <c r="B49" s="55">
        <v>46258</v>
      </c>
      <c r="C49" s="56">
        <v>950</v>
      </c>
      <c r="D49" s="53" t="s">
        <v>254</v>
      </c>
      <c r="E49" s="18" t="s">
        <v>255</v>
      </c>
      <c r="F49" s="57" t="s">
        <v>32</v>
      </c>
    </row>
    <row r="50" spans="1:6">
      <c r="A50" s="64" t="s">
        <v>239</v>
      </c>
      <c r="B50" s="51"/>
      <c r="C50" s="51"/>
      <c r="D50" s="51"/>
      <c r="E50" s="18" t="s">
        <v>256</v>
      </c>
      <c r="F50" s="51"/>
    </row>
    <row r="51" spans="1:6">
      <c r="A51" s="64" t="s">
        <v>239</v>
      </c>
      <c r="B51" s="55">
        <v>46263</v>
      </c>
      <c r="C51" s="56">
        <v>1500</v>
      </c>
      <c r="D51" s="53" t="s">
        <v>234</v>
      </c>
      <c r="E51" s="18" t="s">
        <v>257</v>
      </c>
      <c r="F51" s="57" t="s">
        <v>32</v>
      </c>
    </row>
    <row r="52" spans="1:6">
      <c r="A52" s="64" t="s">
        <v>239</v>
      </c>
      <c r="B52" s="55">
        <v>46263</v>
      </c>
      <c r="C52" s="56">
        <v>-196.29</v>
      </c>
      <c r="D52" s="53" t="s">
        <v>146</v>
      </c>
      <c r="E52" s="18" t="s">
        <v>258</v>
      </c>
      <c r="F52" s="59" t="s">
        <v>146</v>
      </c>
    </row>
    <row r="53" spans="1:6">
      <c r="A53" s="64" t="s">
        <v>239</v>
      </c>
      <c r="B53" s="55">
        <v>46263</v>
      </c>
      <c r="C53" s="56">
        <v>-419.99</v>
      </c>
      <c r="D53" s="53" t="s">
        <v>146</v>
      </c>
      <c r="E53" s="18" t="s">
        <v>259</v>
      </c>
      <c r="F53" s="59" t="s">
        <v>146</v>
      </c>
    </row>
    <row r="54" spans="1:6">
      <c r="A54" s="64" t="s">
        <v>239</v>
      </c>
      <c r="B54" s="55">
        <v>46264</v>
      </c>
      <c r="C54" s="56">
        <v>-94.46</v>
      </c>
      <c r="D54" s="53" t="s">
        <v>108</v>
      </c>
      <c r="E54" s="18" t="s">
        <v>260</v>
      </c>
      <c r="F54" s="60" t="s">
        <v>37</v>
      </c>
    </row>
    <row r="55" spans="1:6">
      <c r="A55" s="64" t="s">
        <v>239</v>
      </c>
      <c r="B55" s="55">
        <v>46264</v>
      </c>
      <c r="C55" s="56">
        <v>990</v>
      </c>
      <c r="D55" s="53" t="s">
        <v>261</v>
      </c>
      <c r="E55" s="18" t="s">
        <v>262</v>
      </c>
      <c r="F55" s="57" t="s">
        <v>32</v>
      </c>
    </row>
    <row r="56" spans="1:6">
      <c r="A56" s="51"/>
      <c r="B56" s="51"/>
      <c r="C56" s="51"/>
      <c r="D56" s="51"/>
      <c r="E56" s="51"/>
      <c r="F56" s="51"/>
    </row>
    <row r="57" spans="1:6">
      <c r="A57" s="64" t="s">
        <v>239</v>
      </c>
      <c r="B57" s="55">
        <v>46270</v>
      </c>
      <c r="C57" s="56">
        <v>1000</v>
      </c>
      <c r="D57" s="53" t="s">
        <v>263</v>
      </c>
      <c r="E57" s="18" t="s">
        <v>264</v>
      </c>
      <c r="F57" s="57" t="s">
        <v>32</v>
      </c>
    </row>
    <row r="58" spans="1:6">
      <c r="A58" s="64" t="s">
        <v>239</v>
      </c>
      <c r="B58" s="55">
        <v>46275</v>
      </c>
      <c r="C58" s="56">
        <v>-505.25</v>
      </c>
      <c r="D58" s="53" t="s">
        <v>146</v>
      </c>
      <c r="E58" s="18" t="s">
        <v>265</v>
      </c>
      <c r="F58" s="59" t="s">
        <v>146</v>
      </c>
    </row>
    <row r="59" spans="1:6">
      <c r="A59" s="64" t="s">
        <v>239</v>
      </c>
      <c r="B59" s="55">
        <v>46276</v>
      </c>
      <c r="C59" s="56">
        <v>-98.87</v>
      </c>
      <c r="D59" s="53" t="s">
        <v>266</v>
      </c>
      <c r="E59" s="18" t="s">
        <v>267</v>
      </c>
      <c r="F59" s="59" t="s">
        <v>146</v>
      </c>
    </row>
    <row r="60" spans="1:6">
      <c r="A60" s="65" t="s">
        <v>268</v>
      </c>
      <c r="B60" s="55">
        <v>46278</v>
      </c>
      <c r="C60" s="56">
        <v>-10000</v>
      </c>
      <c r="D60" s="53" t="s">
        <v>146</v>
      </c>
      <c r="E60" s="18" t="s">
        <v>269</v>
      </c>
      <c r="F60" s="59" t="s">
        <v>146</v>
      </c>
    </row>
    <row r="61" spans="1:6">
      <c r="A61" s="65" t="s">
        <v>268</v>
      </c>
      <c r="B61" s="55">
        <v>46287</v>
      </c>
      <c r="C61" s="56">
        <v>900</v>
      </c>
      <c r="D61" s="53" t="s">
        <v>270</v>
      </c>
      <c r="E61" s="18" t="s">
        <v>271</v>
      </c>
      <c r="F61" s="57" t="s">
        <v>32</v>
      </c>
    </row>
    <row r="62" spans="1:6">
      <c r="A62" s="65" t="s">
        <v>268</v>
      </c>
      <c r="B62" s="55">
        <v>46288</v>
      </c>
      <c r="C62" s="56">
        <v>450</v>
      </c>
      <c r="D62" s="53" t="s">
        <v>270</v>
      </c>
      <c r="E62" s="18" t="s">
        <v>272</v>
      </c>
      <c r="F62" s="57" t="s">
        <v>32</v>
      </c>
    </row>
    <row r="63" spans="1:6">
      <c r="A63" s="65" t="s">
        <v>268</v>
      </c>
      <c r="B63" s="55">
        <v>46267</v>
      </c>
      <c r="C63" s="56">
        <v>996.66</v>
      </c>
      <c r="D63" s="53" t="s">
        <v>273</v>
      </c>
      <c r="E63" s="18" t="s">
        <v>274</v>
      </c>
      <c r="F63" s="57" t="s">
        <v>32</v>
      </c>
    </row>
    <row r="64" spans="1:6">
      <c r="A64" s="65" t="s">
        <v>268</v>
      </c>
      <c r="B64" s="55">
        <v>46268</v>
      </c>
      <c r="C64" s="56">
        <v>700</v>
      </c>
      <c r="D64" s="53" t="s">
        <v>275</v>
      </c>
      <c r="E64" s="18" t="s">
        <v>276</v>
      </c>
      <c r="F64" s="57" t="s">
        <v>32</v>
      </c>
    </row>
    <row r="65" spans="1:6">
      <c r="A65" s="65" t="s">
        <v>268</v>
      </c>
      <c r="B65" s="55">
        <v>46268</v>
      </c>
      <c r="C65" s="56">
        <v>-40</v>
      </c>
      <c r="D65" s="53" t="s">
        <v>146</v>
      </c>
      <c r="E65" s="18" t="s">
        <v>277</v>
      </c>
      <c r="F65" s="59" t="s">
        <v>146</v>
      </c>
    </row>
    <row r="66" spans="1:6">
      <c r="A66" s="65" t="s">
        <v>268</v>
      </c>
      <c r="B66" s="55">
        <v>46280</v>
      </c>
      <c r="C66" s="56">
        <v>600</v>
      </c>
      <c r="D66" s="53" t="s">
        <v>188</v>
      </c>
      <c r="E66" s="18" t="s">
        <v>278</v>
      </c>
      <c r="F66" s="57" t="s">
        <v>32</v>
      </c>
    </row>
    <row r="67" spans="1:6">
      <c r="A67" s="65" t="s">
        <v>268</v>
      </c>
      <c r="B67" s="55">
        <v>46280</v>
      </c>
      <c r="C67" s="56">
        <v>-150</v>
      </c>
      <c r="D67" s="53" t="s">
        <v>279</v>
      </c>
      <c r="E67" s="18" t="s">
        <v>280</v>
      </c>
      <c r="F67" s="59" t="s">
        <v>146</v>
      </c>
    </row>
    <row r="68" spans="1:6">
      <c r="A68" s="65" t="s">
        <v>268</v>
      </c>
      <c r="B68" s="55">
        <v>46282</v>
      </c>
      <c r="C68" s="56">
        <v>826.2</v>
      </c>
      <c r="D68" s="53" t="s">
        <v>281</v>
      </c>
      <c r="E68" s="18" t="s">
        <v>282</v>
      </c>
      <c r="F68" s="58" t="s">
        <v>191</v>
      </c>
    </row>
    <row r="69" spans="1:6">
      <c r="A69" s="65" t="s">
        <v>268</v>
      </c>
      <c r="B69" s="55">
        <v>46283</v>
      </c>
      <c r="C69" s="56">
        <v>900</v>
      </c>
      <c r="D69" s="53" t="s">
        <v>283</v>
      </c>
      <c r="E69" s="18" t="s">
        <v>284</v>
      </c>
      <c r="F69" s="57" t="s">
        <v>32</v>
      </c>
    </row>
    <row r="70" spans="1:6">
      <c r="A70" s="65" t="s">
        <v>268</v>
      </c>
      <c r="B70" s="55">
        <v>46284</v>
      </c>
      <c r="C70" s="56">
        <v>100</v>
      </c>
      <c r="D70" s="53" t="s">
        <v>234</v>
      </c>
      <c r="E70" s="18" t="s">
        <v>285</v>
      </c>
      <c r="F70" s="58" t="s">
        <v>191</v>
      </c>
    </row>
    <row r="71" spans="1:6">
      <c r="A71" s="65" t="s">
        <v>268</v>
      </c>
      <c r="B71" s="55">
        <v>46284</v>
      </c>
      <c r="C71" s="56">
        <v>750</v>
      </c>
      <c r="D71" s="53" t="s">
        <v>207</v>
      </c>
      <c r="E71" s="18" t="s">
        <v>286</v>
      </c>
      <c r="F71" s="57" t="s">
        <v>32</v>
      </c>
    </row>
    <row r="72" spans="1:6">
      <c r="A72" s="65" t="s">
        <v>268</v>
      </c>
      <c r="B72" s="55">
        <v>46284</v>
      </c>
      <c r="C72" s="56">
        <v>-800</v>
      </c>
      <c r="D72" s="53" t="s">
        <v>287</v>
      </c>
      <c r="E72" s="18" t="s">
        <v>287</v>
      </c>
      <c r="F72" s="57" t="s">
        <v>32</v>
      </c>
    </row>
    <row r="73" spans="1:6">
      <c r="A73" s="65" t="s">
        <v>268</v>
      </c>
      <c r="B73" s="55">
        <v>46289</v>
      </c>
      <c r="C73" s="56">
        <v>800</v>
      </c>
      <c r="D73" s="53" t="s">
        <v>227</v>
      </c>
      <c r="E73" s="18" t="s">
        <v>288</v>
      </c>
      <c r="F73" s="57" t="s">
        <v>32</v>
      </c>
    </row>
    <row r="74" spans="1:6">
      <c r="A74" s="65" t="s">
        <v>268</v>
      </c>
      <c r="B74" s="55">
        <v>46289</v>
      </c>
      <c r="C74" s="56">
        <v>1500</v>
      </c>
      <c r="D74" s="53" t="s">
        <v>234</v>
      </c>
      <c r="E74" s="18" t="s">
        <v>289</v>
      </c>
      <c r="F74" s="57" t="s">
        <v>32</v>
      </c>
    </row>
    <row r="75" spans="1:6">
      <c r="A75" s="65" t="s">
        <v>268</v>
      </c>
      <c r="B75" s="53">
        <v>29</v>
      </c>
      <c r="C75" s="56">
        <v>-35.9</v>
      </c>
      <c r="D75" s="53" t="s">
        <v>290</v>
      </c>
      <c r="E75" s="18" t="s">
        <v>290</v>
      </c>
      <c r="F75" s="57" t="s">
        <v>32</v>
      </c>
    </row>
    <row r="76" spans="1:6">
      <c r="A76" s="65" t="s">
        <v>268</v>
      </c>
      <c r="B76" s="53">
        <v>29</v>
      </c>
      <c r="C76" s="56">
        <v>-3000</v>
      </c>
      <c r="D76" s="53" t="s">
        <v>291</v>
      </c>
      <c r="E76" s="18" t="s">
        <v>291</v>
      </c>
      <c r="F76" s="59" t="s">
        <v>146</v>
      </c>
    </row>
    <row r="77" spans="1:6">
      <c r="A77" s="65" t="s">
        <v>268</v>
      </c>
      <c r="B77" s="53">
        <v>30</v>
      </c>
      <c r="C77" s="56">
        <v>990</v>
      </c>
      <c r="D77" s="53" t="s">
        <v>292</v>
      </c>
      <c r="E77" s="18" t="s">
        <v>292</v>
      </c>
      <c r="F77" s="57" t="s">
        <v>32</v>
      </c>
    </row>
    <row r="78" spans="1:6">
      <c r="A78" s="65" t="s">
        <v>268</v>
      </c>
      <c r="B78" s="53">
        <v>25</v>
      </c>
      <c r="C78" s="56">
        <v>900</v>
      </c>
      <c r="D78" s="53" t="s">
        <v>293</v>
      </c>
      <c r="E78" s="18" t="s">
        <v>294</v>
      </c>
      <c r="F78" s="58" t="s">
        <v>191</v>
      </c>
    </row>
    <row r="79" spans="1:6">
      <c r="A79" s="66" t="s">
        <v>295</v>
      </c>
      <c r="B79" s="53">
        <v>2</v>
      </c>
      <c r="C79" s="56">
        <v>-35.9</v>
      </c>
      <c r="D79" s="53" t="s">
        <v>290</v>
      </c>
      <c r="E79" s="18" t="s">
        <v>290</v>
      </c>
      <c r="F79" s="57" t="s">
        <v>32</v>
      </c>
    </row>
    <row r="80" spans="1:6">
      <c r="A80" s="66" t="s">
        <v>295</v>
      </c>
      <c r="B80" s="53">
        <v>3</v>
      </c>
      <c r="C80" s="56">
        <v>1700</v>
      </c>
      <c r="D80" s="53" t="s">
        <v>296</v>
      </c>
      <c r="E80" s="18" t="s">
        <v>296</v>
      </c>
      <c r="F80" s="57" t="s">
        <v>32</v>
      </c>
    </row>
    <row r="81" spans="1:6">
      <c r="A81" s="66" t="s">
        <v>295</v>
      </c>
      <c r="B81" s="53">
        <v>16</v>
      </c>
      <c r="C81" s="56">
        <v>-3000</v>
      </c>
      <c r="D81" s="53" t="s">
        <v>297</v>
      </c>
      <c r="E81" s="18" t="s">
        <v>298</v>
      </c>
      <c r="F81" s="59" t="s">
        <v>146</v>
      </c>
    </row>
    <row r="82" spans="1:6">
      <c r="A82" s="66" t="s">
        <v>295</v>
      </c>
      <c r="B82" s="53">
        <v>20</v>
      </c>
      <c r="C82" s="56">
        <v>-277.52999999999997</v>
      </c>
      <c r="D82" s="53" t="s">
        <v>299</v>
      </c>
      <c r="E82" s="18" t="s">
        <v>300</v>
      </c>
      <c r="F82" s="59" t="s">
        <v>146</v>
      </c>
    </row>
    <row r="83" spans="1:6">
      <c r="A83" s="66" t="s">
        <v>295</v>
      </c>
      <c r="B83" s="53">
        <v>20</v>
      </c>
      <c r="C83" s="56">
        <v>400</v>
      </c>
      <c r="D83" s="53" t="s">
        <v>301</v>
      </c>
      <c r="E83" s="18" t="s">
        <v>302</v>
      </c>
      <c r="F83" s="58" t="s">
        <v>191</v>
      </c>
    </row>
    <row r="84" spans="1:6">
      <c r="A84" s="66" t="s">
        <v>295</v>
      </c>
      <c r="B84" s="53">
        <v>20</v>
      </c>
      <c r="C84" s="56">
        <v>650</v>
      </c>
      <c r="D84" s="53" t="s">
        <v>303</v>
      </c>
      <c r="E84" s="18" t="s">
        <v>304</v>
      </c>
      <c r="F84" s="58" t="s">
        <v>191</v>
      </c>
    </row>
    <row r="85" spans="1:6">
      <c r="A85" s="66" t="s">
        <v>295</v>
      </c>
      <c r="B85" s="53">
        <v>21</v>
      </c>
      <c r="C85" s="56">
        <v>-333.3</v>
      </c>
      <c r="D85" s="53" t="s">
        <v>305</v>
      </c>
      <c r="E85" s="18" t="s">
        <v>306</v>
      </c>
      <c r="F85" s="59" t="s">
        <v>146</v>
      </c>
    </row>
    <row r="86" spans="1:6">
      <c r="A86" s="66" t="s">
        <v>295</v>
      </c>
      <c r="B86" s="53">
        <v>22</v>
      </c>
      <c r="C86" s="56">
        <v>300</v>
      </c>
      <c r="D86" s="53" t="s">
        <v>188</v>
      </c>
      <c r="E86" s="18" t="s">
        <v>307</v>
      </c>
      <c r="F86" s="57" t="s">
        <v>32</v>
      </c>
    </row>
    <row r="87" spans="1:6">
      <c r="A87" s="66" t="s">
        <v>295</v>
      </c>
      <c r="B87" s="53">
        <v>24</v>
      </c>
      <c r="C87" s="56">
        <v>1300</v>
      </c>
      <c r="D87" s="53" t="s">
        <v>227</v>
      </c>
      <c r="E87" s="18" t="s">
        <v>308</v>
      </c>
      <c r="F87" s="57" t="s">
        <v>32</v>
      </c>
    </row>
    <row r="88" spans="1:6">
      <c r="A88" s="66" t="s">
        <v>295</v>
      </c>
      <c r="B88" s="53">
        <v>27</v>
      </c>
      <c r="C88" s="56">
        <v>201.48</v>
      </c>
      <c r="D88" s="53" t="s">
        <v>309</v>
      </c>
      <c r="E88" s="18" t="s">
        <v>309</v>
      </c>
      <c r="F88" s="58" t="s">
        <v>191</v>
      </c>
    </row>
    <row r="89" spans="1:6">
      <c r="A89" s="66" t="s">
        <v>295</v>
      </c>
      <c r="B89" s="53">
        <v>29</v>
      </c>
      <c r="C89" s="56">
        <v>990</v>
      </c>
      <c r="D89" s="53" t="s">
        <v>310</v>
      </c>
      <c r="E89" s="18" t="s">
        <v>311</v>
      </c>
      <c r="F89" s="57" t="s">
        <v>32</v>
      </c>
    </row>
    <row r="90" spans="1:6">
      <c r="A90" s="66" t="s">
        <v>295</v>
      </c>
      <c r="B90" s="53">
        <v>29</v>
      </c>
      <c r="C90" s="56">
        <v>-35.9</v>
      </c>
      <c r="D90" s="53" t="s">
        <v>290</v>
      </c>
      <c r="E90" s="18" t="s">
        <v>290</v>
      </c>
      <c r="F90" s="57" t="s">
        <v>32</v>
      </c>
    </row>
    <row r="91" spans="1:6">
      <c r="A91" s="66" t="s">
        <v>295</v>
      </c>
      <c r="B91" s="53">
        <v>31</v>
      </c>
      <c r="C91" s="56">
        <v>423</v>
      </c>
      <c r="D91" s="53" t="s">
        <v>312</v>
      </c>
      <c r="E91" s="18" t="s">
        <v>313</v>
      </c>
      <c r="F91" s="57" t="s">
        <v>32</v>
      </c>
    </row>
    <row r="92" spans="1:6">
      <c r="A92" s="66" t="s">
        <v>295</v>
      </c>
      <c r="B92" s="53">
        <v>16</v>
      </c>
      <c r="C92" s="56">
        <v>-319.70999999999998</v>
      </c>
      <c r="D92" s="53" t="s">
        <v>314</v>
      </c>
      <c r="E92" s="18" t="s">
        <v>315</v>
      </c>
      <c r="F92" s="58" t="s">
        <v>191</v>
      </c>
    </row>
    <row r="93" spans="1:6">
      <c r="A93" s="66" t="s">
        <v>295</v>
      </c>
      <c r="B93" s="53">
        <v>31</v>
      </c>
      <c r="C93" s="56">
        <v>-50</v>
      </c>
      <c r="D93" s="53" t="s">
        <v>316</v>
      </c>
      <c r="E93" s="18" t="s">
        <v>317</v>
      </c>
      <c r="F93" s="59" t="s">
        <v>146</v>
      </c>
    </row>
    <row r="94" spans="1:6">
      <c r="A94" s="67" t="s">
        <v>318</v>
      </c>
      <c r="B94" s="53">
        <v>3</v>
      </c>
      <c r="C94" s="56">
        <v>-800</v>
      </c>
      <c r="D94" s="53" t="s">
        <v>319</v>
      </c>
      <c r="E94" s="18" t="s">
        <v>320</v>
      </c>
      <c r="F94" s="57" t="s">
        <v>32</v>
      </c>
    </row>
    <row r="95" spans="1:6">
      <c r="A95" s="67" t="s">
        <v>318</v>
      </c>
      <c r="B95" s="53">
        <v>10</v>
      </c>
      <c r="C95" s="56">
        <v>6000</v>
      </c>
      <c r="D95" s="53" t="s">
        <v>321</v>
      </c>
      <c r="E95" s="18" t="s">
        <v>322</v>
      </c>
      <c r="F95" s="57" t="s">
        <v>32</v>
      </c>
    </row>
    <row r="96" spans="1:6">
      <c r="A96" s="67" t="s">
        <v>318</v>
      </c>
      <c r="B96" s="53">
        <v>12</v>
      </c>
      <c r="C96" s="56">
        <v>2000</v>
      </c>
      <c r="D96" s="53" t="s">
        <v>323</v>
      </c>
      <c r="E96" s="18" t="s">
        <v>324</v>
      </c>
      <c r="F96" s="57" t="s">
        <v>32</v>
      </c>
    </row>
    <row r="97" spans="1:6">
      <c r="A97" s="67" t="s">
        <v>318</v>
      </c>
      <c r="B97" s="53">
        <v>13</v>
      </c>
      <c r="C97" s="56">
        <v>808</v>
      </c>
      <c r="D97" s="53" t="s">
        <v>321</v>
      </c>
      <c r="E97" s="53" t="s">
        <v>325</v>
      </c>
      <c r="F97" s="58" t="s">
        <v>191</v>
      </c>
    </row>
    <row r="98" spans="1:6">
      <c r="A98" s="67" t="s">
        <v>318</v>
      </c>
      <c r="B98" s="53">
        <v>18</v>
      </c>
      <c r="C98" s="56">
        <v>-5000</v>
      </c>
      <c r="D98" s="53" t="s">
        <v>326</v>
      </c>
      <c r="E98" s="18" t="s">
        <v>327</v>
      </c>
      <c r="F98" s="59" t="s">
        <v>146</v>
      </c>
    </row>
    <row r="99" spans="1:6">
      <c r="A99" s="67" t="s">
        <v>318</v>
      </c>
      <c r="B99" s="53">
        <v>19</v>
      </c>
      <c r="C99" s="56">
        <v>-10000</v>
      </c>
      <c r="D99" s="53" t="s">
        <v>146</v>
      </c>
      <c r="E99" s="18" t="s">
        <v>328</v>
      </c>
      <c r="F99" s="59" t="s">
        <v>146</v>
      </c>
    </row>
    <row r="100" spans="1:6">
      <c r="A100" s="67" t="s">
        <v>318</v>
      </c>
      <c r="B100" s="53">
        <v>25</v>
      </c>
      <c r="C100" s="56">
        <v>-133.16999999999999</v>
      </c>
      <c r="D100" s="53" t="s">
        <v>329</v>
      </c>
      <c r="E100" s="51"/>
      <c r="F100" s="58" t="s">
        <v>191</v>
      </c>
    </row>
    <row r="101" spans="1:6">
      <c r="A101" s="67" t="s">
        <v>318</v>
      </c>
      <c r="B101" s="53">
        <v>25</v>
      </c>
      <c r="C101" s="56">
        <v>-35.9</v>
      </c>
      <c r="D101" s="53" t="s">
        <v>330</v>
      </c>
      <c r="E101" s="51"/>
      <c r="F101" s="57" t="s">
        <v>32</v>
      </c>
    </row>
    <row r="102" spans="1:6">
      <c r="A102" s="67" t="s">
        <v>318</v>
      </c>
      <c r="B102" s="53">
        <v>27</v>
      </c>
      <c r="C102" s="56">
        <v>1050</v>
      </c>
      <c r="D102" s="53" t="s">
        <v>227</v>
      </c>
      <c r="E102" s="18" t="s">
        <v>318</v>
      </c>
      <c r="F102" s="57" t="s">
        <v>32</v>
      </c>
    </row>
    <row r="103" spans="1:6">
      <c r="A103" s="67" t="s">
        <v>318</v>
      </c>
      <c r="B103" s="53">
        <v>27</v>
      </c>
      <c r="C103" s="56">
        <v>-800</v>
      </c>
      <c r="D103" s="53" t="s">
        <v>331</v>
      </c>
      <c r="E103" s="18" t="s">
        <v>332</v>
      </c>
      <c r="F103" s="57" t="s">
        <v>32</v>
      </c>
    </row>
    <row r="104" spans="1:6">
      <c r="A104" s="67" t="s">
        <v>318</v>
      </c>
      <c r="B104" s="53">
        <v>28</v>
      </c>
      <c r="C104" s="56">
        <v>990</v>
      </c>
      <c r="D104" s="53" t="s">
        <v>261</v>
      </c>
      <c r="E104" s="18" t="s">
        <v>333</v>
      </c>
      <c r="F104" s="57" t="s">
        <v>32</v>
      </c>
    </row>
    <row r="105" spans="1:6">
      <c r="A105" s="68" t="s">
        <v>334</v>
      </c>
      <c r="B105" s="53">
        <v>1</v>
      </c>
      <c r="C105" s="56">
        <v>-41.26</v>
      </c>
      <c r="D105" s="53" t="s">
        <v>335</v>
      </c>
      <c r="E105" s="51"/>
      <c r="F105" s="59" t="s">
        <v>146</v>
      </c>
    </row>
    <row r="106" spans="1:6">
      <c r="A106" s="68" t="s">
        <v>334</v>
      </c>
      <c r="B106" s="53">
        <v>1</v>
      </c>
      <c r="C106" s="56">
        <v>1800</v>
      </c>
      <c r="D106" s="53" t="s">
        <v>336</v>
      </c>
      <c r="E106" s="18" t="s">
        <v>337</v>
      </c>
      <c r="F106" s="57" t="s">
        <v>32</v>
      </c>
    </row>
    <row r="107" spans="1:6">
      <c r="A107" s="68" t="s">
        <v>334</v>
      </c>
      <c r="B107" s="53">
        <v>2</v>
      </c>
      <c r="C107" s="56">
        <v>-122.31</v>
      </c>
      <c r="D107" s="53" t="s">
        <v>338</v>
      </c>
      <c r="E107" s="18" t="s">
        <v>339</v>
      </c>
      <c r="F107" s="57" t="s">
        <v>32</v>
      </c>
    </row>
    <row r="108" spans="1:6">
      <c r="A108" s="68" t="s">
        <v>334</v>
      </c>
      <c r="B108" s="53">
        <v>4</v>
      </c>
      <c r="C108" s="56">
        <v>-39</v>
      </c>
      <c r="D108" s="53" t="s">
        <v>340</v>
      </c>
      <c r="E108" s="18" t="s">
        <v>340</v>
      </c>
      <c r="F108" s="58" t="s">
        <v>191</v>
      </c>
    </row>
    <row r="109" spans="1:6">
      <c r="A109" s="68" t="s">
        <v>334</v>
      </c>
      <c r="B109" s="53">
        <v>4</v>
      </c>
      <c r="C109" s="56">
        <v>-43.6</v>
      </c>
      <c r="D109" s="53" t="s">
        <v>341</v>
      </c>
      <c r="E109" s="18" t="s">
        <v>342</v>
      </c>
      <c r="F109" s="57" t="s">
        <v>32</v>
      </c>
    </row>
    <row r="110" spans="1:6">
      <c r="A110" s="68" t="s">
        <v>334</v>
      </c>
      <c r="B110" s="53">
        <v>10</v>
      </c>
      <c r="C110" s="56">
        <v>3000</v>
      </c>
      <c r="D110" s="53" t="s">
        <v>343</v>
      </c>
      <c r="E110" s="18" t="s">
        <v>344</v>
      </c>
      <c r="F110" s="57" t="s">
        <v>32</v>
      </c>
    </row>
    <row r="111" spans="1:6">
      <c r="A111" s="68" t="s">
        <v>334</v>
      </c>
      <c r="B111" s="53">
        <v>10</v>
      </c>
      <c r="C111" s="56">
        <v>1000</v>
      </c>
      <c r="D111" s="53" t="s">
        <v>341</v>
      </c>
      <c r="E111" s="18" t="s">
        <v>345</v>
      </c>
      <c r="F111" s="58" t="s">
        <v>191</v>
      </c>
    </row>
    <row r="112" spans="1:6">
      <c r="A112" s="68" t="s">
        <v>334</v>
      </c>
      <c r="B112" s="53">
        <v>16</v>
      </c>
      <c r="C112" s="56">
        <v>-7500</v>
      </c>
      <c r="D112" s="53" t="s">
        <v>346</v>
      </c>
      <c r="E112" s="51"/>
      <c r="F112" s="59" t="s">
        <v>146</v>
      </c>
    </row>
    <row r="113" spans="1:6">
      <c r="A113" s="68" t="s">
        <v>334</v>
      </c>
      <c r="B113" s="53">
        <v>22</v>
      </c>
      <c r="C113" s="56">
        <v>1500</v>
      </c>
      <c r="D113" s="53" t="s">
        <v>347</v>
      </c>
      <c r="E113" s="51"/>
      <c r="F113" s="58" t="s">
        <v>191</v>
      </c>
    </row>
    <row r="114" spans="1:6">
      <c r="A114" s="68" t="s">
        <v>334</v>
      </c>
      <c r="B114" s="53">
        <v>29</v>
      </c>
      <c r="C114" s="56">
        <v>-35.9</v>
      </c>
      <c r="D114" s="53" t="s">
        <v>348</v>
      </c>
      <c r="E114" s="51"/>
      <c r="F114" s="57" t="s">
        <v>32</v>
      </c>
    </row>
    <row r="115" spans="1:6">
      <c r="A115" s="68" t="s">
        <v>334</v>
      </c>
      <c r="B115" s="53">
        <v>29</v>
      </c>
      <c r="C115" s="56">
        <v>2670</v>
      </c>
      <c r="D115" s="53" t="s">
        <v>349</v>
      </c>
      <c r="E115" s="51"/>
      <c r="F115" s="57" t="s">
        <v>32</v>
      </c>
    </row>
    <row r="116" spans="1:6">
      <c r="A116" s="68" t="s">
        <v>334</v>
      </c>
      <c r="B116" s="53">
        <v>29</v>
      </c>
      <c r="C116" s="56">
        <v>300</v>
      </c>
      <c r="D116" s="53" t="s">
        <v>350</v>
      </c>
      <c r="E116" s="18" t="s">
        <v>351</v>
      </c>
      <c r="F116" s="57" t="s">
        <v>32</v>
      </c>
    </row>
    <row r="117" spans="1:6">
      <c r="A117" s="68" t="s">
        <v>334</v>
      </c>
      <c r="B117" s="53">
        <v>29</v>
      </c>
      <c r="C117" s="56">
        <v>-1600</v>
      </c>
      <c r="D117" s="53" t="s">
        <v>352</v>
      </c>
      <c r="E117" s="18" t="s">
        <v>352</v>
      </c>
      <c r="F117" s="57" t="s">
        <v>32</v>
      </c>
    </row>
    <row r="118" spans="1:6">
      <c r="A118" s="68" t="s">
        <v>334</v>
      </c>
      <c r="B118" s="53">
        <v>29</v>
      </c>
      <c r="C118" s="56">
        <v>990</v>
      </c>
      <c r="D118" s="53" t="s">
        <v>237</v>
      </c>
      <c r="E118" s="18" t="s">
        <v>237</v>
      </c>
      <c r="F118" s="57" t="s">
        <v>32</v>
      </c>
    </row>
    <row r="119" spans="1:6">
      <c r="A119" s="63" t="s">
        <v>353</v>
      </c>
      <c r="B119" s="53">
        <v>2</v>
      </c>
      <c r="C119" s="56">
        <v>-122.1</v>
      </c>
      <c r="D119" s="53" t="s">
        <v>354</v>
      </c>
      <c r="E119" s="18" t="s">
        <v>355</v>
      </c>
      <c r="F119" s="59" t="s">
        <v>146</v>
      </c>
    </row>
    <row r="120" spans="1:6">
      <c r="A120" s="63" t="s">
        <v>353</v>
      </c>
      <c r="B120" s="53">
        <v>2</v>
      </c>
      <c r="C120" s="56">
        <v>-800</v>
      </c>
      <c r="D120" s="53" t="s">
        <v>356</v>
      </c>
      <c r="E120" s="18" t="s">
        <v>357</v>
      </c>
      <c r="F120" s="51"/>
    </row>
    <row r="121" spans="1:6">
      <c r="A121" s="63" t="s">
        <v>353</v>
      </c>
      <c r="B121" s="53">
        <v>9</v>
      </c>
      <c r="C121" s="56">
        <v>1100</v>
      </c>
      <c r="D121" s="53" t="s">
        <v>358</v>
      </c>
      <c r="E121" s="18" t="s">
        <v>359</v>
      </c>
      <c r="F121" s="57" t="s">
        <v>32</v>
      </c>
    </row>
    <row r="122" spans="1:6">
      <c r="A122" s="63" t="s">
        <v>353</v>
      </c>
      <c r="B122" s="53">
        <v>12</v>
      </c>
      <c r="C122" s="56">
        <v>1100</v>
      </c>
      <c r="D122" s="53" t="s">
        <v>360</v>
      </c>
      <c r="E122" s="18" t="s">
        <v>353</v>
      </c>
      <c r="F122" s="57" t="s">
        <v>32</v>
      </c>
    </row>
    <row r="123" spans="1:6">
      <c r="A123" s="63" t="s">
        <v>353</v>
      </c>
      <c r="B123" s="53">
        <v>12</v>
      </c>
      <c r="C123" s="56">
        <v>1200</v>
      </c>
      <c r="D123" s="53" t="s">
        <v>361</v>
      </c>
      <c r="E123" s="18" t="s">
        <v>191</v>
      </c>
      <c r="F123" s="58" t="s">
        <v>191</v>
      </c>
    </row>
    <row r="124" spans="1:6">
      <c r="A124" s="63" t="s">
        <v>353</v>
      </c>
      <c r="B124" s="53">
        <v>12</v>
      </c>
      <c r="C124" s="56">
        <v>-7000</v>
      </c>
      <c r="D124" s="53" t="s">
        <v>362</v>
      </c>
      <c r="E124" s="18" t="s">
        <v>191</v>
      </c>
      <c r="F124" s="59" t="s">
        <v>146</v>
      </c>
    </row>
    <row r="125" spans="1:6">
      <c r="A125" s="63" t="s">
        <v>353</v>
      </c>
      <c r="B125" s="53">
        <v>12</v>
      </c>
      <c r="C125" s="56">
        <v>300</v>
      </c>
      <c r="D125" s="53" t="s">
        <v>363</v>
      </c>
      <c r="E125" s="18" t="s">
        <v>364</v>
      </c>
      <c r="F125" s="57" t="s">
        <v>32</v>
      </c>
    </row>
    <row r="126" spans="1:6">
      <c r="A126" s="63" t="s">
        <v>353</v>
      </c>
      <c r="B126" s="53">
        <v>16</v>
      </c>
      <c r="C126" s="56">
        <v>100</v>
      </c>
      <c r="D126" s="53" t="s">
        <v>365</v>
      </c>
      <c r="E126" s="18" t="s">
        <v>191</v>
      </c>
      <c r="F126" s="58" t="s">
        <v>191</v>
      </c>
    </row>
    <row r="127" spans="1:6">
      <c r="A127" s="63" t="s">
        <v>353</v>
      </c>
      <c r="B127" s="53">
        <v>19</v>
      </c>
      <c r="C127" s="56">
        <v>-50.56</v>
      </c>
      <c r="D127" s="53" t="s">
        <v>366</v>
      </c>
      <c r="E127" s="18" t="s">
        <v>191</v>
      </c>
      <c r="F127" s="59" t="s">
        <v>146</v>
      </c>
    </row>
    <row r="128" spans="1:6">
      <c r="A128" s="63" t="s">
        <v>353</v>
      </c>
      <c r="B128" s="53">
        <v>19</v>
      </c>
      <c r="C128" s="56">
        <v>100</v>
      </c>
      <c r="D128" s="53" t="s">
        <v>367</v>
      </c>
      <c r="E128" s="18" t="s">
        <v>368</v>
      </c>
      <c r="F128" s="58" t="s">
        <v>191</v>
      </c>
    </row>
    <row r="129" spans="1:6">
      <c r="A129" s="63" t="s">
        <v>353</v>
      </c>
      <c r="B129" s="53">
        <v>19</v>
      </c>
      <c r="C129" s="56">
        <v>-350</v>
      </c>
      <c r="D129" s="53" t="s">
        <v>369</v>
      </c>
      <c r="E129" s="18" t="s">
        <v>191</v>
      </c>
      <c r="F129" s="58" t="s">
        <v>191</v>
      </c>
    </row>
    <row r="130" spans="1:6">
      <c r="A130" s="63" t="s">
        <v>353</v>
      </c>
      <c r="B130" s="53">
        <v>21</v>
      </c>
      <c r="C130" s="56">
        <v>-130</v>
      </c>
      <c r="D130" s="53" t="s">
        <v>227</v>
      </c>
      <c r="E130" s="18" t="s">
        <v>370</v>
      </c>
      <c r="F130" s="58" t="s">
        <v>191</v>
      </c>
    </row>
    <row r="131" spans="1:6">
      <c r="A131" s="63" t="s">
        <v>353</v>
      </c>
      <c r="B131" s="53">
        <v>28</v>
      </c>
      <c r="C131" s="56">
        <v>-35.9</v>
      </c>
      <c r="D131" s="53" t="s">
        <v>371</v>
      </c>
      <c r="E131" s="51"/>
      <c r="F131" s="57" t="s">
        <v>32</v>
      </c>
    </row>
    <row r="132" spans="1:6">
      <c r="A132" s="66" t="s">
        <v>372</v>
      </c>
      <c r="B132" s="53">
        <v>2</v>
      </c>
      <c r="C132" s="56">
        <v>-125.85</v>
      </c>
      <c r="D132" s="53" t="s">
        <v>373</v>
      </c>
      <c r="E132" s="18" t="s">
        <v>373</v>
      </c>
      <c r="F132" s="57" t="s">
        <v>32</v>
      </c>
    </row>
    <row r="133" spans="1:6">
      <c r="A133" s="69" t="s">
        <v>374</v>
      </c>
      <c r="B133" s="53">
        <v>3</v>
      </c>
      <c r="C133" s="56">
        <v>-54.01</v>
      </c>
      <c r="D133" s="53" t="s">
        <v>375</v>
      </c>
      <c r="E133" s="51"/>
      <c r="F133" s="58" t="s">
        <v>191</v>
      </c>
    </row>
    <row r="134" spans="1:6">
      <c r="A134" s="63" t="s">
        <v>353</v>
      </c>
      <c r="B134" s="53">
        <v>3</v>
      </c>
      <c r="C134" s="56">
        <v>990</v>
      </c>
      <c r="D134" s="53" t="s">
        <v>376</v>
      </c>
      <c r="E134" s="18" t="s">
        <v>353</v>
      </c>
      <c r="F134" s="57" t="s">
        <v>32</v>
      </c>
    </row>
    <row r="135" spans="1:6">
      <c r="A135" s="63" t="s">
        <v>353</v>
      </c>
      <c r="B135" s="53">
        <v>4</v>
      </c>
      <c r="C135" s="56">
        <v>900</v>
      </c>
      <c r="D135" s="53" t="s">
        <v>377</v>
      </c>
      <c r="E135" s="18" t="s">
        <v>378</v>
      </c>
      <c r="F135" s="58" t="s">
        <v>191</v>
      </c>
    </row>
    <row r="136" spans="1:6">
      <c r="A136" s="63" t="s">
        <v>353</v>
      </c>
      <c r="B136" s="53">
        <v>5</v>
      </c>
      <c r="C136" s="56">
        <v>-270.83999999999997</v>
      </c>
      <c r="D136" s="53" t="s">
        <v>379</v>
      </c>
      <c r="E136" s="18" t="s">
        <v>380</v>
      </c>
      <c r="F136" s="57" t="s">
        <v>32</v>
      </c>
    </row>
    <row r="137" spans="1:6">
      <c r="A137" s="63" t="s">
        <v>353</v>
      </c>
      <c r="B137" s="53">
        <v>5</v>
      </c>
      <c r="C137" s="56">
        <v>2350</v>
      </c>
      <c r="D137" s="53" t="s">
        <v>336</v>
      </c>
      <c r="E137" s="18" t="s">
        <v>381</v>
      </c>
      <c r="F137" s="57" t="s">
        <v>32</v>
      </c>
    </row>
    <row r="138" spans="1:6">
      <c r="A138" s="66" t="s">
        <v>372</v>
      </c>
      <c r="B138" s="53">
        <v>13</v>
      </c>
      <c r="C138" s="56">
        <v>750</v>
      </c>
      <c r="D138" s="53" t="s">
        <v>382</v>
      </c>
      <c r="E138" s="18" t="s">
        <v>383</v>
      </c>
      <c r="F138" s="58" t="s">
        <v>191</v>
      </c>
    </row>
    <row r="139" spans="1:6">
      <c r="A139" s="66" t="s">
        <v>372</v>
      </c>
      <c r="B139" s="53">
        <v>13</v>
      </c>
      <c r="C139" s="56">
        <v>200</v>
      </c>
      <c r="D139" s="53" t="s">
        <v>384</v>
      </c>
      <c r="E139" s="18" t="s">
        <v>385</v>
      </c>
      <c r="F139" s="57" t="s">
        <v>32</v>
      </c>
    </row>
    <row r="140" spans="1:6">
      <c r="A140" s="66" t="s">
        <v>372</v>
      </c>
      <c r="B140" s="53">
        <v>18</v>
      </c>
      <c r="C140" s="56">
        <v>325</v>
      </c>
      <c r="D140" s="53" t="s">
        <v>386</v>
      </c>
      <c r="E140" s="18" t="s">
        <v>387</v>
      </c>
      <c r="F140" s="57" t="s">
        <v>32</v>
      </c>
    </row>
    <row r="141" spans="1:6">
      <c r="A141" s="66" t="s">
        <v>372</v>
      </c>
      <c r="B141" s="53">
        <v>23</v>
      </c>
      <c r="C141" s="56">
        <v>-5040.95</v>
      </c>
      <c r="D141" s="53" t="s">
        <v>388</v>
      </c>
      <c r="E141" s="18" t="s">
        <v>389</v>
      </c>
      <c r="F141" s="59" t="s">
        <v>146</v>
      </c>
    </row>
    <row r="142" spans="1:6">
      <c r="A142" s="69" t="s">
        <v>374</v>
      </c>
      <c r="B142" s="53">
        <v>2</v>
      </c>
      <c r="C142" s="56">
        <v>-35.9</v>
      </c>
      <c r="D142" s="53" t="s">
        <v>371</v>
      </c>
      <c r="E142" s="18" t="s">
        <v>290</v>
      </c>
      <c r="F142" s="51"/>
    </row>
    <row r="143" spans="1:6">
      <c r="A143" s="69" t="s">
        <v>374</v>
      </c>
      <c r="B143" s="53">
        <v>2</v>
      </c>
      <c r="C143" s="56">
        <v>-120.21</v>
      </c>
      <c r="D143" s="53" t="s">
        <v>390</v>
      </c>
      <c r="E143" s="18" t="s">
        <v>32</v>
      </c>
      <c r="F143" s="59" t="s">
        <v>146</v>
      </c>
    </row>
    <row r="144" spans="1:6">
      <c r="A144" s="69" t="s">
        <v>374</v>
      </c>
      <c r="B144" s="53">
        <v>3</v>
      </c>
      <c r="C144" s="56">
        <v>1100</v>
      </c>
      <c r="D144" s="53" t="s">
        <v>391</v>
      </c>
      <c r="E144" s="18" t="s">
        <v>392</v>
      </c>
      <c r="F144" s="57" t="s">
        <v>32</v>
      </c>
    </row>
    <row r="145" spans="1:6">
      <c r="A145" s="69" t="s">
        <v>374</v>
      </c>
      <c r="B145" s="53">
        <v>4</v>
      </c>
      <c r="C145" s="56">
        <v>1600</v>
      </c>
      <c r="D145" s="53" t="s">
        <v>393</v>
      </c>
      <c r="E145" s="18" t="s">
        <v>394</v>
      </c>
      <c r="F145" s="57" t="s">
        <v>32</v>
      </c>
    </row>
    <row r="146" spans="1:6">
      <c r="A146" s="69" t="s">
        <v>374</v>
      </c>
      <c r="B146" s="53">
        <v>4</v>
      </c>
      <c r="C146" s="56">
        <v>912.5</v>
      </c>
      <c r="D146" s="53" t="s">
        <v>395</v>
      </c>
      <c r="E146" s="18" t="s">
        <v>396</v>
      </c>
      <c r="F146" s="57" t="s">
        <v>32</v>
      </c>
    </row>
    <row r="147" spans="1:6">
      <c r="A147" s="69" t="s">
        <v>374</v>
      </c>
      <c r="B147" s="53">
        <v>11</v>
      </c>
      <c r="C147" s="56">
        <v>990</v>
      </c>
      <c r="D147" s="53" t="s">
        <v>397</v>
      </c>
      <c r="E147" s="18" t="s">
        <v>398</v>
      </c>
      <c r="F147" s="57" t="s">
        <v>32</v>
      </c>
    </row>
    <row r="148" spans="1:6">
      <c r="A148" s="69" t="s">
        <v>374</v>
      </c>
      <c r="B148" s="53">
        <v>16</v>
      </c>
      <c r="C148" s="56">
        <v>-4000</v>
      </c>
      <c r="D148" s="53" t="s">
        <v>388</v>
      </c>
      <c r="E148" s="18" t="s">
        <v>389</v>
      </c>
      <c r="F148" s="59" t="s">
        <v>146</v>
      </c>
    </row>
    <row r="149" spans="1:6">
      <c r="A149" s="54" t="s">
        <v>187</v>
      </c>
      <c r="B149" s="53">
        <v>1</v>
      </c>
      <c r="C149" s="56">
        <v>-40</v>
      </c>
      <c r="D149" s="53" t="s">
        <v>399</v>
      </c>
      <c r="E149" s="51"/>
      <c r="F149" s="59" t="s">
        <v>146</v>
      </c>
    </row>
    <row r="150" spans="1:6">
      <c r="A150" s="54" t="s">
        <v>187</v>
      </c>
      <c r="B150" s="53">
        <v>2</v>
      </c>
      <c r="C150" s="56">
        <v>-153.33000000000001</v>
      </c>
      <c r="D150" s="53" t="s">
        <v>400</v>
      </c>
      <c r="E150" s="51"/>
      <c r="F150" s="59" t="s">
        <v>146</v>
      </c>
    </row>
    <row r="151" spans="1:6">
      <c r="A151" s="54" t="s">
        <v>187</v>
      </c>
      <c r="B151" s="53">
        <v>6</v>
      </c>
      <c r="C151" s="56">
        <v>2700</v>
      </c>
      <c r="D151" s="53" t="s">
        <v>401</v>
      </c>
      <c r="E151" s="51"/>
      <c r="F151" s="57" t="s">
        <v>32</v>
      </c>
    </row>
    <row r="152" spans="1:6">
      <c r="A152" s="54" t="s">
        <v>187</v>
      </c>
      <c r="B152" s="53">
        <v>6</v>
      </c>
      <c r="C152" s="56">
        <v>1100</v>
      </c>
      <c r="D152" s="53" t="s">
        <v>402</v>
      </c>
      <c r="E152" s="51"/>
      <c r="F152" s="57" t="s">
        <v>32</v>
      </c>
    </row>
    <row r="153" spans="1:6">
      <c r="A153" s="54" t="s">
        <v>187</v>
      </c>
      <c r="B153" s="53">
        <v>7</v>
      </c>
      <c r="C153" s="56">
        <v>1175</v>
      </c>
      <c r="D153" s="53" t="s">
        <v>403</v>
      </c>
      <c r="E153" s="51"/>
      <c r="F153" s="57" t="s">
        <v>32</v>
      </c>
    </row>
    <row r="154" spans="1:6">
      <c r="A154" s="54" t="s">
        <v>187</v>
      </c>
      <c r="B154" s="53">
        <v>8</v>
      </c>
      <c r="C154" s="56">
        <v>990</v>
      </c>
      <c r="D154" s="53" t="s">
        <v>404</v>
      </c>
      <c r="E154" s="51"/>
      <c r="F154" s="57" t="s">
        <v>32</v>
      </c>
    </row>
    <row r="155" spans="1:6">
      <c r="A155" s="54" t="s">
        <v>187</v>
      </c>
      <c r="B155" s="53">
        <v>27</v>
      </c>
      <c r="C155" s="56">
        <v>990</v>
      </c>
      <c r="D155" s="53" t="s">
        <v>404</v>
      </c>
      <c r="E155" s="51"/>
      <c r="F155" s="57" t="s">
        <v>32</v>
      </c>
    </row>
    <row r="156" spans="1:6">
      <c r="A156" s="54" t="s">
        <v>187</v>
      </c>
      <c r="B156" s="53">
        <v>28</v>
      </c>
      <c r="C156" s="56">
        <v>-150</v>
      </c>
      <c r="D156" s="53" t="s">
        <v>405</v>
      </c>
      <c r="E156" s="51"/>
      <c r="F156" s="58" t="s">
        <v>191</v>
      </c>
    </row>
    <row r="157" spans="1:6">
      <c r="A157" s="54" t="s">
        <v>187</v>
      </c>
      <c r="B157" s="53">
        <v>28</v>
      </c>
      <c r="C157" s="56">
        <v>1000</v>
      </c>
      <c r="D157" s="53" t="s">
        <v>406</v>
      </c>
      <c r="E157" s="51"/>
      <c r="F157" s="58" t="s">
        <v>191</v>
      </c>
    </row>
    <row r="158" spans="1:6">
      <c r="A158" s="54" t="s">
        <v>187</v>
      </c>
      <c r="B158" s="53">
        <v>4</v>
      </c>
      <c r="C158" s="56">
        <v>-327.62</v>
      </c>
      <c r="D158" s="53" t="s">
        <v>407</v>
      </c>
      <c r="E158" s="51"/>
      <c r="F158" s="59" t="s">
        <v>146</v>
      </c>
    </row>
    <row r="159" spans="1:6">
      <c r="A159" s="54" t="s">
        <v>187</v>
      </c>
      <c r="B159" s="53">
        <v>6</v>
      </c>
      <c r="C159" s="56">
        <v>1050</v>
      </c>
      <c r="D159" s="53" t="s">
        <v>402</v>
      </c>
      <c r="E159" s="51"/>
      <c r="F159" s="57" t="s">
        <v>32</v>
      </c>
    </row>
    <row r="160" spans="1:6">
      <c r="A160" s="54" t="s">
        <v>187</v>
      </c>
      <c r="B160" s="53">
        <v>7</v>
      </c>
      <c r="C160" s="56">
        <v>3790</v>
      </c>
      <c r="D160" s="53" t="s">
        <v>401</v>
      </c>
      <c r="E160" s="51"/>
      <c r="F160" s="57" t="s">
        <v>32</v>
      </c>
    </row>
    <row r="161" spans="1:6">
      <c r="A161" s="54" t="s">
        <v>187</v>
      </c>
      <c r="B161" s="53">
        <v>8</v>
      </c>
      <c r="C161" s="56">
        <v>-12000</v>
      </c>
      <c r="D161" s="53" t="s">
        <v>388</v>
      </c>
      <c r="E161" s="51"/>
      <c r="F161" s="59" t="s">
        <v>146</v>
      </c>
    </row>
    <row r="162" spans="1:6">
      <c r="A162" s="54" t="s">
        <v>187</v>
      </c>
      <c r="B162" s="53">
        <v>8</v>
      </c>
      <c r="C162" s="56">
        <v>587.5</v>
      </c>
      <c r="D162" s="53" t="s">
        <v>403</v>
      </c>
      <c r="E162" s="51"/>
      <c r="F162" s="57" t="s">
        <v>32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51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8.83203125" defaultRowHeight="15"/>
  <cols>
    <col min="1" max="2" width="14" customWidth="1"/>
    <col min="3" max="3" width="40" customWidth="1"/>
  </cols>
  <sheetData>
    <row r="1" spans="1:3" ht="25" customHeight="1">
      <c r="A1" s="1" t="s">
        <v>0</v>
      </c>
      <c r="B1" s="1" t="s">
        <v>1</v>
      </c>
      <c r="C1" s="1" t="s">
        <v>184</v>
      </c>
    </row>
    <row r="2" spans="1:3">
      <c r="A2" s="2">
        <v>805.28</v>
      </c>
      <c r="B2" s="10">
        <v>46159</v>
      </c>
      <c r="C2" s="4" t="s">
        <v>408</v>
      </c>
    </row>
    <row r="3" spans="1:3">
      <c r="A3" s="2"/>
      <c r="B3" s="3"/>
      <c r="C3" s="4"/>
    </row>
    <row r="4" spans="1:3">
      <c r="A4" s="2"/>
      <c r="B4" s="3"/>
      <c r="C4" s="4"/>
    </row>
    <row r="5" spans="1:3">
      <c r="A5" s="2"/>
      <c r="B5" s="3"/>
      <c r="C5" s="4"/>
    </row>
    <row r="6" spans="1:3">
      <c r="A6" s="2"/>
      <c r="B6" s="3"/>
      <c r="C6" s="4"/>
    </row>
    <row r="7" spans="1:3">
      <c r="A7" s="2"/>
      <c r="B7" s="3"/>
      <c r="C7" s="4"/>
    </row>
    <row r="8" spans="1:3">
      <c r="A8" s="2"/>
      <c r="B8" s="3"/>
      <c r="C8" s="4"/>
    </row>
    <row r="9" spans="1:3">
      <c r="A9" s="2"/>
      <c r="B9" s="3"/>
      <c r="C9" s="4"/>
    </row>
    <row r="10" spans="1:3">
      <c r="A10" s="2"/>
      <c r="B10" s="3"/>
      <c r="C10" s="4"/>
    </row>
    <row r="11" spans="1:3">
      <c r="A11" s="2"/>
      <c r="B11" s="3"/>
      <c r="C11" s="4"/>
    </row>
    <row r="12" spans="1:3">
      <c r="A12" s="2"/>
      <c r="B12" s="3"/>
      <c r="C12" s="4"/>
    </row>
    <row r="13" spans="1:3">
      <c r="A13" s="2"/>
      <c r="B13" s="3"/>
      <c r="C13" s="4"/>
    </row>
    <row r="14" spans="1:3">
      <c r="A14" s="2"/>
      <c r="B14" s="3"/>
      <c r="C14" s="4"/>
    </row>
    <row r="15" spans="1:3">
      <c r="A15" s="2"/>
      <c r="B15" s="3"/>
      <c r="C15" s="4"/>
    </row>
    <row r="16" spans="1:3">
      <c r="A16" s="2"/>
      <c r="B16" s="3"/>
      <c r="C16" s="4"/>
    </row>
    <row r="17" spans="1:3">
      <c r="A17" s="2"/>
      <c r="B17" s="3"/>
      <c r="C17" s="4"/>
    </row>
    <row r="18" spans="1:3">
      <c r="A18" s="2"/>
      <c r="B18" s="3"/>
      <c r="C18" s="4"/>
    </row>
    <row r="19" spans="1:3">
      <c r="A19" s="2"/>
      <c r="B19" s="3"/>
      <c r="C19" s="4"/>
    </row>
    <row r="20" spans="1:3">
      <c r="A20" s="2"/>
      <c r="B20" s="3"/>
      <c r="C20" s="4"/>
    </row>
    <row r="21" spans="1:3">
      <c r="A21" s="2"/>
      <c r="B21" s="3"/>
      <c r="C21" s="4"/>
    </row>
    <row r="22" spans="1:3">
      <c r="A22" s="2"/>
      <c r="B22" s="3"/>
      <c r="C22" s="4"/>
    </row>
    <row r="23" spans="1:3">
      <c r="A23" s="2"/>
      <c r="B23" s="3"/>
      <c r="C23" s="4"/>
    </row>
    <row r="24" spans="1:3">
      <c r="A24" s="2"/>
      <c r="B24" s="3"/>
      <c r="C24" s="4"/>
    </row>
    <row r="25" spans="1:3">
      <c r="A25" s="2"/>
      <c r="B25" s="3"/>
      <c r="C25" s="4"/>
    </row>
    <row r="26" spans="1:3">
      <c r="A26" s="2"/>
      <c r="B26" s="3"/>
      <c r="C26" s="4"/>
    </row>
    <row r="27" spans="1:3">
      <c r="A27" s="2"/>
      <c r="B27" s="3"/>
      <c r="C27" s="4"/>
    </row>
    <row r="28" spans="1:3">
      <c r="A28" s="2"/>
      <c r="B28" s="3"/>
      <c r="C28" s="4"/>
    </row>
    <row r="29" spans="1:3">
      <c r="A29" s="2"/>
      <c r="B29" s="3"/>
      <c r="C29" s="4"/>
    </row>
    <row r="30" spans="1:3">
      <c r="A30" s="2"/>
      <c r="B30" s="3"/>
      <c r="C30" s="4"/>
    </row>
    <row r="31" spans="1:3">
      <c r="A31" s="2"/>
      <c r="B31" s="3"/>
      <c r="C31" s="4"/>
    </row>
    <row r="32" spans="1:3">
      <c r="A32" s="2"/>
      <c r="B32" s="3"/>
      <c r="C32" s="4"/>
    </row>
    <row r="33" spans="1:3">
      <c r="A33" s="2"/>
      <c r="B33" s="3"/>
      <c r="C33" s="4"/>
    </row>
    <row r="34" spans="1:3">
      <c r="A34" s="2"/>
      <c r="B34" s="3"/>
      <c r="C34" s="4"/>
    </row>
    <row r="35" spans="1:3">
      <c r="A35" s="2"/>
      <c r="B35" s="3"/>
      <c r="C35" s="4"/>
    </row>
    <row r="36" spans="1:3">
      <c r="A36" s="2"/>
      <c r="B36" s="3"/>
      <c r="C36" s="4"/>
    </row>
    <row r="37" spans="1:3">
      <c r="A37" s="2"/>
      <c r="B37" s="3"/>
      <c r="C37" s="4"/>
    </row>
    <row r="38" spans="1:3">
      <c r="A38" s="2"/>
      <c r="B38" s="3"/>
      <c r="C38" s="4"/>
    </row>
    <row r="39" spans="1:3">
      <c r="A39" s="2"/>
      <c r="B39" s="3"/>
      <c r="C39" s="4"/>
    </row>
    <row r="40" spans="1:3">
      <c r="A40" s="2"/>
      <c r="B40" s="3"/>
      <c r="C40" s="4"/>
    </row>
    <row r="41" spans="1:3">
      <c r="A41" s="2"/>
      <c r="B41" s="3"/>
      <c r="C41" s="4"/>
    </row>
    <row r="42" spans="1:3">
      <c r="A42" s="2"/>
      <c r="B42" s="3"/>
      <c r="C42" s="4"/>
    </row>
    <row r="43" spans="1:3">
      <c r="A43" s="2"/>
      <c r="B43" s="3"/>
      <c r="C43" s="4"/>
    </row>
    <row r="44" spans="1:3">
      <c r="A44" s="2"/>
      <c r="B44" s="3"/>
      <c r="C44" s="4"/>
    </row>
    <row r="45" spans="1:3">
      <c r="A45" s="2"/>
      <c r="B45" s="3"/>
      <c r="C45" s="4"/>
    </row>
    <row r="46" spans="1:3">
      <c r="A46" s="2"/>
      <c r="B46" s="3"/>
      <c r="C46" s="4"/>
    </row>
    <row r="47" spans="1:3">
      <c r="A47" s="2"/>
      <c r="B47" s="3"/>
      <c r="C47" s="4"/>
    </row>
    <row r="48" spans="1:3">
      <c r="A48" s="2"/>
      <c r="B48" s="3"/>
      <c r="C48" s="4"/>
    </row>
    <row r="49" spans="1:3">
      <c r="A49" s="2"/>
      <c r="B49" s="3"/>
      <c r="C49" s="4"/>
    </row>
    <row r="50" spans="1:3">
      <c r="A50" s="2"/>
      <c r="B50" s="3"/>
      <c r="C50" s="4"/>
    </row>
    <row r="51" spans="1:3">
      <c r="A51" s="2"/>
      <c r="B51" s="3"/>
      <c r="C51" s="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Março Cartão 2026</vt:lpstr>
      <vt:lpstr>Março Saldo 2026</vt:lpstr>
      <vt:lpstr>Abril Cartão 2026</vt:lpstr>
      <vt:lpstr>Abril Saldo 2026</vt:lpstr>
      <vt:lpstr>Maio Cartão 2026</vt:lpstr>
      <vt:lpstr>Maio Saldo 2026</vt:lpstr>
      <vt:lpstr>Investimentos</vt:lpstr>
      <vt:lpstr>Itaú</vt:lpstr>
      <vt:lpstr>Vamo Nessa 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Lucas Verras || mosaiclab ||</cp:lastModifiedBy>
  <dcterms:created xsi:type="dcterms:W3CDTF">2026-05-16T20:25:11Z</dcterms:created>
  <dcterms:modified xsi:type="dcterms:W3CDTF">2026-05-18T01:53:45Z</dcterms:modified>
</cp:coreProperties>
</file>